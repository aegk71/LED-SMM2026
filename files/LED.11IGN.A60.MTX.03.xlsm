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DieseArbeitsmappe"/>
  <mc:AlternateContent xmlns:mc="http://schemas.openxmlformats.org/markup-compatibility/2006">
    <mc:Choice Requires="x15">
      <x15ac:absPath xmlns:x15ac="http://schemas.microsoft.com/office/spreadsheetml/2010/11/ac" url="L:\900 - Interne Projekte\90019\190169-Entwicklung Innenschiebetür\04-Kalk u Berechnungen\"/>
    </mc:Choice>
  </mc:AlternateContent>
  <xr:revisionPtr revIDLastSave="0" documentId="13_ncr:1_{29B655B9-B388-485D-9AAD-A6E81AF15D6C}" xr6:coauthVersionLast="47" xr6:coauthVersionMax="47" xr10:uidLastSave="{00000000-0000-0000-0000-000000000000}"/>
  <bookViews>
    <workbookView xWindow="0" yWindow="0" windowWidth="23040" windowHeight="18480" xr2:uid="{83C1386A-511B-439D-85F4-C83B383756E2}"/>
  </bookViews>
  <sheets>
    <sheet name="#SETTINGS" sheetId="4" r:id="rId1"/>
    <sheet name="#YYMMDD" sheetId="3" r:id="rId2"/>
    <sheet name="DATEN" sheetId="1" state="hidden" r:id="rId3"/>
  </sheets>
  <definedNames>
    <definedName name="_xlnm._FilterDatabase" localSheetId="1" hidden="1">'#YYMMDD'!$B$22:$AH$22</definedName>
    <definedName name="_xleta.IF" hidden="1" xlm="1">#NAME?</definedName>
    <definedName name="_xleta.IFERROR" hidden="1" xlm="1">#NAME?</definedName>
    <definedName name="_xleta.N" hidden="1" xlm="1">#NAME?</definedName>
    <definedName name="a">SELECTION()</definedName>
    <definedName name="AktSp">DATEN!$O$3</definedName>
    <definedName name="AktZei">DATEN!$O$2</definedName>
    <definedName name="dyn_HelpPic">INDEX(DATEN!$W$100:$W$134,MATCH('#YYMMDD'!$Q$6,DATEN!$V$100:$V$134,0))</definedName>
    <definedName name="statSpr">DATEN!$O$4</definedName>
    <definedName name="VERS">'#SETTINGS'!$D$8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2" i="3" l="1"/>
  <c r="AB31" i="3"/>
  <c r="AB30" i="3"/>
  <c r="AB29" i="3"/>
  <c r="AB28" i="3"/>
  <c r="AB27" i="3"/>
  <c r="AB26" i="3"/>
  <c r="AB25" i="3"/>
  <c r="AB24" i="3"/>
  <c r="Y32" i="3"/>
  <c r="Y31" i="3"/>
  <c r="Y30" i="3"/>
  <c r="Y29" i="3"/>
  <c r="Y28" i="3"/>
  <c r="Y27" i="3"/>
  <c r="Y26" i="3"/>
  <c r="Y25" i="3"/>
  <c r="Y24" i="3"/>
  <c r="Y23" i="3"/>
  <c r="AB23" i="3" s="1"/>
  <c r="AA32" i="3"/>
  <c r="AA31" i="3"/>
  <c r="AA30" i="3"/>
  <c r="AA29" i="3"/>
  <c r="AA28" i="3"/>
  <c r="AA27" i="3"/>
  <c r="AA26" i="3"/>
  <c r="AA25" i="3"/>
  <c r="AA23" i="3"/>
  <c r="AW24" i="1"/>
  <c r="Y1" i="3"/>
  <c r="W1" i="3"/>
  <c r="AO30" i="1"/>
  <c r="AA24" i="3" l="1"/>
  <c r="Z1" i="3"/>
  <c r="X1" i="3"/>
  <c r="AO26" i="1"/>
  <c r="AO27" i="1" s="1"/>
  <c r="U1" i="3"/>
  <c r="V1" i="3"/>
  <c r="T32" i="3"/>
  <c r="T31" i="3"/>
  <c r="T30" i="3"/>
  <c r="T29" i="3"/>
  <c r="T28" i="3"/>
  <c r="T27" i="3"/>
  <c r="T26" i="3"/>
  <c r="T25" i="3"/>
  <c r="T24" i="3"/>
  <c r="T23" i="3"/>
  <c r="O1" i="3"/>
  <c r="B32" i="3"/>
  <c r="B31" i="3"/>
  <c r="B30" i="3"/>
  <c r="B29" i="3"/>
  <c r="B28" i="3"/>
  <c r="B27" i="3"/>
  <c r="B26" i="3"/>
  <c r="B25" i="3"/>
  <c r="B24" i="3"/>
  <c r="B23" i="3"/>
  <c r="P1" i="3"/>
  <c r="Q1" i="3"/>
  <c r="S32" i="3"/>
  <c r="S31" i="3"/>
  <c r="S30" i="3"/>
  <c r="S29" i="3"/>
  <c r="S28" i="3"/>
  <c r="S27" i="3"/>
  <c r="S26" i="3"/>
  <c r="S25" i="3"/>
  <c r="S24" i="3"/>
  <c r="S23" i="3"/>
  <c r="R1" i="3"/>
  <c r="S1" i="3"/>
  <c r="T1" i="3"/>
  <c r="AA1" i="3"/>
  <c r="AB1" i="3"/>
  <c r="AC1" i="3"/>
  <c r="AD1" i="3"/>
  <c r="AE1" i="3"/>
  <c r="AF1" i="3"/>
  <c r="AG1" i="3"/>
  <c r="F16" i="3"/>
  <c r="F15" i="3"/>
  <c r="F14" i="3"/>
  <c r="F13" i="3"/>
  <c r="F12" i="3"/>
  <c r="F11" i="3"/>
  <c r="F10" i="3"/>
  <c r="F9" i="3"/>
  <c r="F8" i="3"/>
  <c r="F7" i="3"/>
  <c r="F6" i="3"/>
  <c r="O4" i="1"/>
  <c r="E4" i="4"/>
  <c r="B4" i="4"/>
  <c r="K1" i="3"/>
  <c r="R56" i="1"/>
  <c r="R52" i="1"/>
  <c r="R53" i="1"/>
  <c r="R54" i="1"/>
  <c r="R55" i="1"/>
  <c r="R45" i="1"/>
  <c r="R46" i="1"/>
  <c r="R47" i="1"/>
  <c r="R48" i="1"/>
  <c r="R49" i="1"/>
  <c r="R50" i="1"/>
  <c r="R51" i="1"/>
  <c r="R39" i="1"/>
  <c r="R40" i="1"/>
  <c r="R41" i="1"/>
  <c r="R42" i="1"/>
  <c r="R43" i="1"/>
  <c r="R44"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C1" i="3"/>
  <c r="D1" i="3"/>
  <c r="E1" i="3"/>
  <c r="F1" i="3"/>
  <c r="G1" i="3"/>
  <c r="H1" i="3"/>
  <c r="I1" i="3"/>
  <c r="J1" i="3"/>
  <c r="L1" i="3"/>
  <c r="M1" i="3"/>
  <c r="N1" i="3"/>
  <c r="AH1" i="3"/>
  <c r="B1" i="3"/>
  <c r="S21" i="1" l="1"/>
  <c r="N93" i="1"/>
  <c r="N96" i="1"/>
  <c r="N98" i="1"/>
  <c r="N58" i="1"/>
  <c r="W19" i="3" s="1"/>
  <c r="N59" i="1"/>
  <c r="D48" i="4" s="1"/>
  <c r="N60" i="1"/>
  <c r="Y19" i="3" s="1"/>
  <c r="N62" i="1"/>
  <c r="N64" i="1"/>
  <c r="N67" i="1"/>
  <c r="N70" i="1"/>
  <c r="N72" i="1"/>
  <c r="N74" i="1"/>
  <c r="N76" i="1"/>
  <c r="N78" i="1"/>
  <c r="N80" i="1"/>
  <c r="N82" i="1"/>
  <c r="N84" i="1"/>
  <c r="N86" i="1"/>
  <c r="N87" i="1"/>
  <c r="N89" i="1"/>
  <c r="N90" i="1"/>
  <c r="N92" i="1"/>
  <c r="N40" i="1"/>
  <c r="D35" i="4" s="1"/>
  <c r="N42" i="1"/>
  <c r="D37" i="4" s="1"/>
  <c r="N44" i="1"/>
  <c r="D39" i="4" s="1"/>
  <c r="N46" i="1"/>
  <c r="V19" i="3" s="1"/>
  <c r="N48" i="1"/>
  <c r="D42" i="4" s="1"/>
  <c r="N50" i="1"/>
  <c r="X19" i="3" s="1"/>
  <c r="N52" i="1"/>
  <c r="Z19" i="3" s="1"/>
  <c r="N54" i="1"/>
  <c r="AD19" i="3" s="1"/>
  <c r="N56" i="1"/>
  <c r="D46" i="4" s="1"/>
  <c r="N94" i="1"/>
  <c r="N95" i="1"/>
  <c r="N97" i="1"/>
  <c r="N99" i="1"/>
  <c r="N57" i="1"/>
  <c r="D47" i="4" s="1"/>
  <c r="N61" i="1"/>
  <c r="N63" i="1"/>
  <c r="N65" i="1"/>
  <c r="N66" i="1"/>
  <c r="N68" i="1"/>
  <c r="N69" i="1"/>
  <c r="N71" i="1"/>
  <c r="N73" i="1"/>
  <c r="N75" i="1"/>
  <c r="N77" i="1"/>
  <c r="N79" i="1"/>
  <c r="N81" i="1"/>
  <c r="N83" i="1"/>
  <c r="N85" i="1"/>
  <c r="N88" i="1"/>
  <c r="N91" i="1"/>
  <c r="N39" i="1"/>
  <c r="D34" i="4" s="1"/>
  <c r="N41" i="1"/>
  <c r="D36" i="4" s="1"/>
  <c r="N43" i="1"/>
  <c r="D38" i="4" s="1"/>
  <c r="N45" i="1"/>
  <c r="D40" i="4" s="1"/>
  <c r="N47" i="1"/>
  <c r="D41" i="4" s="1"/>
  <c r="N49" i="1"/>
  <c r="D43" i="4" s="1"/>
  <c r="N51" i="1"/>
  <c r="D44" i="4" s="1"/>
  <c r="N53" i="1"/>
  <c r="D45" i="4" s="1"/>
  <c r="N55" i="1"/>
  <c r="AE19" i="3" s="1"/>
  <c r="D25" i="3"/>
  <c r="D23" i="3"/>
  <c r="B4" i="3"/>
  <c r="N26" i="1" l="1"/>
  <c r="W134" i="1" s="1"/>
  <c r="S23" i="1"/>
  <c r="S19" i="1"/>
  <c r="S36" i="1"/>
  <c r="S50" i="1"/>
  <c r="S38" i="1"/>
  <c r="S40" i="1"/>
  <c r="S27" i="1"/>
  <c r="S11" i="1"/>
  <c r="S29" i="1"/>
  <c r="S30" i="1"/>
  <c r="S31" i="1"/>
  <c r="S32" i="1"/>
  <c r="S33" i="1"/>
  <c r="S48" i="1"/>
  <c r="S18" i="1"/>
  <c r="S22" i="1"/>
  <c r="S20" i="1"/>
  <c r="S37" i="1"/>
  <c r="S51" i="1"/>
  <c r="S24" i="1"/>
  <c r="S52" i="1"/>
  <c r="S54" i="1"/>
  <c r="S41" i="1"/>
  <c r="S42" i="1"/>
  <c r="S56" i="1"/>
  <c r="S43" i="1"/>
  <c r="S44" i="1"/>
  <c r="S45" i="1"/>
  <c r="S46" i="1"/>
  <c r="S47" i="1"/>
  <c r="S34" i="1"/>
  <c r="S49" i="1"/>
  <c r="S7" i="1"/>
  <c r="S8" i="1"/>
  <c r="S25" i="1"/>
  <c r="S39" i="1"/>
  <c r="S53" i="1"/>
  <c r="S9" i="1"/>
  <c r="S26" i="1"/>
  <c r="S10" i="1"/>
  <c r="S55" i="1"/>
  <c r="S28" i="1"/>
  <c r="S12" i="1"/>
  <c r="S13" i="1"/>
  <c r="S14" i="1"/>
  <c r="S15" i="1"/>
  <c r="S16" i="1"/>
  <c r="S17" i="1"/>
  <c r="S35" i="1"/>
  <c r="N20" i="1"/>
  <c r="N33" i="1"/>
  <c r="P19" i="3" s="1"/>
  <c r="N31" i="1"/>
  <c r="D29" i="4" s="1"/>
  <c r="N27" i="1"/>
  <c r="N19" i="1"/>
  <c r="F21" i="3" s="1"/>
  <c r="N11" i="1"/>
  <c r="B19" i="4" s="1"/>
  <c r="E10" i="3" s="1"/>
  <c r="N10" i="1"/>
  <c r="B18" i="4" s="1"/>
  <c r="E9" i="3" s="1"/>
  <c r="N32" i="1"/>
  <c r="D30" i="4" s="1"/>
  <c r="N30" i="1"/>
  <c r="B28" i="4" s="1"/>
  <c r="N29" i="1"/>
  <c r="B14" i="4" s="1"/>
  <c r="N28" i="1"/>
  <c r="U19" i="3" s="1"/>
  <c r="N13" i="1"/>
  <c r="B21" i="4" s="1"/>
  <c r="E12" i="3" s="1"/>
  <c r="N9" i="1"/>
  <c r="B17" i="4" s="1"/>
  <c r="E8" i="3" s="1"/>
  <c r="N8" i="1"/>
  <c r="B16" i="4" s="1"/>
  <c r="E7" i="3" s="1"/>
  <c r="N12" i="1"/>
  <c r="B20" i="4" s="1"/>
  <c r="E11" i="3" s="1"/>
  <c r="N18" i="1"/>
  <c r="N34" i="1"/>
  <c r="S19" i="3" s="1"/>
  <c r="N17" i="1"/>
  <c r="N25" i="1"/>
  <c r="K19" i="3" s="1"/>
  <c r="N7" i="1"/>
  <c r="B15" i="4" s="1"/>
  <c r="E6" i="3" s="1"/>
  <c r="N38" i="1"/>
  <c r="D33" i="4" s="1"/>
  <c r="N24" i="1"/>
  <c r="N19" i="3" s="1"/>
  <c r="N16" i="1"/>
  <c r="N37" i="1"/>
  <c r="D32" i="4" s="1"/>
  <c r="N23" i="1"/>
  <c r="AA19" i="3" s="1"/>
  <c r="N15" i="1"/>
  <c r="N36" i="1"/>
  <c r="D31" i="4" s="1"/>
  <c r="N22" i="1"/>
  <c r="B22" i="4" s="1"/>
  <c r="N14" i="1"/>
  <c r="N35" i="1"/>
  <c r="N21" i="1"/>
  <c r="O2" i="1"/>
  <c r="O3" i="1"/>
  <c r="Q6" i="3" l="1"/>
  <c r="C20" i="3"/>
  <c r="L19" i="3"/>
  <c r="I21" i="3"/>
  <c r="H21" i="3"/>
  <c r="W110" i="1"/>
  <c r="W108" i="1"/>
  <c r="W106" i="1"/>
  <c r="W103" i="1"/>
  <c r="W101" i="1"/>
  <c r="W109" i="1"/>
  <c r="W107" i="1"/>
  <c r="W105" i="1"/>
  <c r="W104" i="1"/>
  <c r="W102" i="1"/>
  <c r="W100" i="1"/>
  <c r="B24" i="4"/>
  <c r="E15" i="3" s="1"/>
  <c r="B25" i="4"/>
  <c r="E16" i="3" s="1"/>
  <c r="E13" i="3"/>
  <c r="B23" i="4"/>
  <c r="E14" i="3" s="1"/>
  <c r="J6" i="3"/>
  <c r="B21" i="3"/>
  <c r="C21" i="3" s="1"/>
  <c r="AH4" i="3"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<sst xmlns="http://schemas.openxmlformats.org/spreadsheetml/2006/main" count="332" uniqueCount="245">
  <si>
    <t>:</t>
  </si>
  <si>
    <t>VERSION</t>
  </si>
  <si>
    <t>AKTUELLE ZEILE</t>
  </si>
  <si>
    <t>AKTUELLE SPALTE</t>
  </si>
  <si>
    <t>REV.:</t>
  </si>
  <si>
    <t>LED PROJEKT NR.</t>
  </si>
  <si>
    <t>BEARBEITER</t>
  </si>
  <si>
    <t>VORGANG</t>
  </si>
  <si>
    <t>KUNDE</t>
  </si>
  <si>
    <t>DATUM</t>
  </si>
  <si>
    <t>NOTIZ I</t>
  </si>
  <si>
    <t>NOTIZ II</t>
  </si>
  <si>
    <t>NOTIZ III</t>
  </si>
  <si>
    <t>FRAME</t>
  </si>
  <si>
    <t>NO.</t>
  </si>
  <si>
    <t>INFO</t>
  </si>
  <si>
    <t>PROJEKT NAME</t>
  </si>
  <si>
    <t>LED PROJECT NO.</t>
  </si>
  <si>
    <t>PROCESS</t>
  </si>
  <si>
    <t>CLIENT</t>
  </si>
  <si>
    <t>DATE</t>
  </si>
  <si>
    <t>NOTE I</t>
  </si>
  <si>
    <t>NOTE II</t>
  </si>
  <si>
    <t>NOTE III</t>
  </si>
  <si>
    <t>EDITOR</t>
  </si>
  <si>
    <t>PROJECT NAME</t>
  </si>
  <si>
    <t>SPRACHE / LANGUAGE</t>
  </si>
  <si>
    <t>SPRACHE</t>
  </si>
  <si>
    <t>D</t>
  </si>
  <si>
    <t>E</t>
  </si>
  <si>
    <t>REV.</t>
  </si>
  <si>
    <t>?</t>
  </si>
  <si>
    <t>NR.</t>
  </si>
  <si>
    <t>TÜR</t>
  </si>
  <si>
    <t>DOOR</t>
  </si>
  <si>
    <t>SPANT</t>
  </si>
  <si>
    <t>RAUM</t>
  </si>
  <si>
    <t>ROOM</t>
  </si>
  <si>
    <t>BENENNUNG</t>
  </si>
  <si>
    <t>DESCRIPTION</t>
  </si>
  <si>
    <t>BAUGRUPPE</t>
  </si>
  <si>
    <t>MODULE</t>
  </si>
  <si>
    <t>…</t>
  </si>
  <si>
    <t>[mm]</t>
  </si>
  <si>
    <r>
      <t>CH</t>
    </r>
    <r>
      <rPr>
        <vertAlign val="subscript"/>
        <sz val="10"/>
        <color theme="1"/>
        <rFont val="Arial"/>
        <family val="2"/>
      </rPr>
      <t>1</t>
    </r>
  </si>
  <si>
    <r>
      <t>CO</t>
    </r>
    <r>
      <rPr>
        <vertAlign val="subscript"/>
        <sz val="10"/>
        <color theme="1"/>
        <rFont val="Arial"/>
        <family val="2"/>
      </rPr>
      <t>1</t>
    </r>
  </si>
  <si>
    <r>
      <t>CO</t>
    </r>
    <r>
      <rPr>
        <vertAlign val="subscript"/>
        <sz val="10"/>
        <color theme="1"/>
        <rFont val="Arial"/>
        <family val="2"/>
      </rPr>
      <t>2</t>
    </r>
  </si>
  <si>
    <r>
      <t>CH</t>
    </r>
    <r>
      <rPr>
        <vertAlign val="subscript"/>
        <sz val="10"/>
        <color theme="1"/>
        <rFont val="Arial"/>
        <family val="2"/>
      </rPr>
      <t>2</t>
    </r>
  </si>
  <si>
    <t>??</t>
  </si>
  <si>
    <t>SPALTE</t>
  </si>
  <si>
    <t>Zulassung (A0-A60)</t>
  </si>
  <si>
    <t>Certification (A0-A60)</t>
  </si>
  <si>
    <t>CL</t>
  </si>
  <si>
    <t>POS.</t>
  </si>
  <si>
    <t>Her Office</t>
  </si>
  <si>
    <t>His WC</t>
  </si>
  <si>
    <t>XIV-III</t>
  </si>
  <si>
    <t>Angabe der Baugruppe oder Auswahl aus dem Menue</t>
  </si>
  <si>
    <t>Specify the assembly or select from the menu</t>
  </si>
  <si>
    <t>DIN</t>
  </si>
  <si>
    <t>L/R</t>
  </si>
  <si>
    <t>DIN L: Tür montiert auf der Sichtseite, von rechts nach links schließend / DIN R: Tür montiert auf der Sichtseite, von links nach rechts schließend</t>
  </si>
  <si>
    <t>DIN L: Door mounted on the visible side, closing from right to left / DIN R: Door mounted on the visible side, closing from left to right</t>
  </si>
  <si>
    <t>L</t>
  </si>
  <si>
    <t>Cut-out width</t>
  </si>
  <si>
    <t>Cut-out height</t>
  </si>
  <si>
    <t>Lfd. Positionsnummer</t>
  </si>
  <si>
    <t>Number</t>
  </si>
  <si>
    <t>F9 für Spalteninfo</t>
  </si>
  <si>
    <t>F9 for column information</t>
  </si>
  <si>
    <t>Anlagen Nr. gem. Kunde</t>
  </si>
  <si>
    <t>Clients number</t>
  </si>
  <si>
    <t>Position der Anlage, hier SPANT</t>
  </si>
  <si>
    <t>Frame position of the sytem</t>
  </si>
  <si>
    <t>Position der Anlage, steuerbord (SB) / backbord (PS) / Mitte (CL)</t>
  </si>
  <si>
    <t>Position of the door, starboard (SB) / portside (PS) / centre (CL)</t>
  </si>
  <si>
    <t>Raum Bezeichnung</t>
  </si>
  <si>
    <t>Room designation</t>
  </si>
  <si>
    <t>Additional free description or information</t>
  </si>
  <si>
    <t>Freie Bezeichnung oder zusätzliche Information</t>
  </si>
  <si>
    <t>KEINE ABB. VERFÜGBAR</t>
  </si>
  <si>
    <t>NO. SKETCH AVAILABLE</t>
  </si>
  <si>
    <t>SÜLL TYP</t>
  </si>
  <si>
    <t>SILL TYPE</t>
  </si>
  <si>
    <t>REMARK</t>
  </si>
  <si>
    <t>Sample</t>
  </si>
  <si>
    <t>PROJEKT INFORMATION</t>
  </si>
  <si>
    <t>PROJECT INFORMATION</t>
  </si>
  <si>
    <t>PARAMETER</t>
  </si>
  <si>
    <t>PARAMETER #:</t>
  </si>
  <si>
    <t>Lichte Weite gem. Prüfung, entspricht technische lichte Breite ohne ggf. zusätzliches dekoratives Cladding</t>
  </si>
  <si>
    <t>STÄRKE COVER</t>
  </si>
  <si>
    <t>CLADDING THICKNESS</t>
  </si>
  <si>
    <t xml:space="preserve">Stärke der zusätzlichen dekorativen Verkleidungen auf S: Schließkante; O: Öffnungeseite; D: Decke </t>
  </si>
  <si>
    <t>Thickness of additional decorative cladding at S: Closing edge; O: Opening side; D: Ceiling</t>
  </si>
  <si>
    <t>TECHNISCHE DURCHGANGSGRÖSSE</t>
  </si>
  <si>
    <t>TECHNICAL CLEAR OPENINGS</t>
  </si>
  <si>
    <t>TATSÄCHLICHE LICHTE ÖFFNUNG</t>
  </si>
  <si>
    <t>REAL CLEAR OPENING</t>
  </si>
  <si>
    <t>S</t>
  </si>
  <si>
    <t>O</t>
  </si>
  <si>
    <r>
      <t>CO</t>
    </r>
    <r>
      <rPr>
        <vertAlign val="subscript"/>
        <sz val="10"/>
        <color theme="1"/>
        <rFont val="Arial"/>
        <family val="2"/>
      </rPr>
      <t>3</t>
    </r>
  </si>
  <si>
    <r>
      <t>CH</t>
    </r>
    <r>
      <rPr>
        <vertAlign val="subscript"/>
        <sz val="10"/>
        <color theme="1"/>
        <rFont val="Arial"/>
        <family val="2"/>
      </rPr>
      <t>3</t>
    </r>
  </si>
  <si>
    <t>KLASSE A…</t>
  </si>
  <si>
    <t>CLASS A…</t>
  </si>
  <si>
    <t>Position Befestigungswinkel, horizontal (oben)</t>
  </si>
  <si>
    <t>Abmessungen Haltewinkel, horizontal (oben)</t>
  </si>
  <si>
    <t>Dimension of installation angle, horizontal (top)</t>
  </si>
  <si>
    <t>Position of installation angle, horizontal (top)</t>
  </si>
  <si>
    <r>
      <t>Technische lichte Breite [CO</t>
    </r>
    <r>
      <rPr>
        <vertAlign val="subscript"/>
        <sz val="10"/>
        <color rgb="FFC00000"/>
        <rFont val="Arial"/>
        <family val="2"/>
      </rPr>
      <t>1</t>
    </r>
    <r>
      <rPr>
        <sz val="10"/>
        <color rgb="FFC00000"/>
        <rFont val="Arial"/>
        <family val="2"/>
      </rPr>
      <t>]</t>
    </r>
  </si>
  <si>
    <t>Lichte Breite zwischen dekorativen Covern, ggf. identisch 1 [CO2]</t>
  </si>
  <si>
    <t>Lichte Breite des Stahl Ausschnittes [CO3]</t>
  </si>
  <si>
    <t>Clear width of cut-out [CO3]</t>
  </si>
  <si>
    <r>
      <t>Technical clear width [CO</t>
    </r>
    <r>
      <rPr>
        <vertAlign val="subscript"/>
        <sz val="10"/>
        <color rgb="FFC00000"/>
        <rFont val="Arial"/>
        <family val="2"/>
      </rPr>
      <t>1</t>
    </r>
    <r>
      <rPr>
        <sz val="10"/>
        <color rgb="FFC00000"/>
        <rFont val="Arial"/>
        <family val="2"/>
      </rPr>
      <t>]</t>
    </r>
  </si>
  <si>
    <t>Clear width between decorative claddings, in case identically with 1 [CO2]</t>
  </si>
  <si>
    <t>Clear width (as per certification); corresponds to the technical clear width, excluding any potential additional decorative cladding.</t>
  </si>
  <si>
    <t>Lichte Höhe gem. Prüfung, entspricht technische lichte Höhe ohne ggf. zusätzliches dekoratives Cladding im Deckenbereich aber zzgl. Schwellenhöhe / Bodenaufbau</t>
  </si>
  <si>
    <t>Clear height as per certification: corresponds to the technical clear height - excluding any potential additional decorative ceiling cladding, but inclusive of the threshold height/floor buildup</t>
  </si>
  <si>
    <t>AUFBAU DEKO SCHWELLE</t>
  </si>
  <si>
    <t>DECORATIVE THRESHOLD DESIGN</t>
  </si>
  <si>
    <t>Clear height between the decorative ceiling and the top edge of the decorative threshold [CH2]</t>
  </si>
  <si>
    <t>Lichte Höhe zwischen dekorativer Decke und Oberkante dekorativer Schwelle [CH2]</t>
  </si>
  <si>
    <t>Technische lichte Höhe, Abstand OK deko Schwelle - UK Deckenverkleidung [CH2]</t>
  </si>
  <si>
    <t>Technical clear height. Distance between top of dcorative threshold and bottom of ceiling [CH2]</t>
  </si>
  <si>
    <t>Höhe dekorativer Aufbau der Schwelle</t>
  </si>
  <si>
    <t>Höhe Unterbau Schwelle</t>
  </si>
  <si>
    <t>Height of decorative threshold assembly</t>
  </si>
  <si>
    <t>Height of threshold substructure</t>
  </si>
  <si>
    <t>Dekorativer Aufbau des Sülls im Durchgangsbereich unterhalb des Türblattes. Muss unbrennbar ausgeführt werden. Technische lichte Höhe (8) wird bis OK Süll Abdeckung angegeben. Ausbrand um entsprechende Höhe erweitert.</t>
  </si>
  <si>
    <t>Unterkonstruktion der dekorativen Schwelle im Durchgangsbereich. Muss unbrennbar ausgeführt werden, wird bei der Berechnung der technischen lichten Höhe (8) zusammen mit der dekorativen Schwellenhöhe (10) berücksichtigt. Ausbrand um entsprechende Höhe erweitert.</t>
  </si>
  <si>
    <t>Substructure for the decorative threshold in the passageway area. Must be constructed from non-combustible materials; it is taken into account—together with the height of the decorative threshold (10)—when calculating the technical clear height (8). The smoke baffle depth is extended by the corresponding height.</t>
  </si>
  <si>
    <t>Decorative construction of the sill in the passageway area beneath the door leaf. Must be constructed from non-combustible materials. The technical clear height (8) is specified up to the top edge of the sill cover. The cut-out is extended by the corresponding height.</t>
  </si>
  <si>
    <t>Tatsächliche Durchgangsbreite unter Berücksichtigung zusätzlicher dekorativer Verkleidungen (S &amp; O)</t>
  </si>
  <si>
    <t>Actual passage width, taking into account additional decorative cladding (S &amp; O)</t>
  </si>
  <si>
    <t>Tatsächliche Durchgangshöhe unter Berücksichtigung zusätzlicher dekorativer Deckenerkleidungen (D)</t>
  </si>
  <si>
    <t>Actual passage height, taking into account additional decorative ceiling cladding (D)</t>
  </si>
  <si>
    <t>Breite des Ausbrandes</t>
  </si>
  <si>
    <t>Höhe des Ausbrandes</t>
  </si>
  <si>
    <t>Höhe Schwelle OK über Deck</t>
  </si>
  <si>
    <t>Height of top of sill above deck</t>
  </si>
  <si>
    <t>Aufbauhöhe der Süllausführung (ohne dekorative Aufbauten B &amp; T) über Deck</t>
  </si>
  <si>
    <t>Height of sill execution (without decorative parts from B &amp; T) above deck</t>
  </si>
  <si>
    <t>HÖHE SCHWELLE</t>
  </si>
  <si>
    <t>SILL HEIGHT</t>
  </si>
  <si>
    <t>Position of installation angle, vertical, closing side</t>
  </si>
  <si>
    <t>Dimension of installation angle, vertical, opening side</t>
  </si>
  <si>
    <t>Position of installation angle, vertical, opening side</t>
  </si>
  <si>
    <t>Dimension of installation angle, vertical, closing side</t>
  </si>
  <si>
    <t>Abmessungen Haltewinkel, vertikal, Öffnungsseite</t>
  </si>
  <si>
    <t>Position Befestigungswinkel, vertikal, Öffnungsseite</t>
  </si>
  <si>
    <t>Abmessungen Haltewinkel, vertikal, Schließseite</t>
  </si>
  <si>
    <t>Position Befestigungswinkel, vertikal, Schließseite</t>
  </si>
  <si>
    <t>LichteHöhe des Stahl Ausschnittes [CH3]</t>
  </si>
  <si>
    <t>Clear height of cut-out [CH3]</t>
  </si>
  <si>
    <t>R1</t>
  </si>
  <si>
    <t>R2</t>
  </si>
  <si>
    <t>a</t>
  </si>
  <si>
    <t>b</t>
  </si>
  <si>
    <t>R2 + 5</t>
  </si>
  <si>
    <t>√[(R₁ − 31)² + (R₁ − 40)²]</t>
  </si>
  <si>
    <t>R1 - 31</t>
  </si>
  <si>
    <t>R1 - 40</t>
  </si>
  <si>
    <t>Waagerechter Abstand des Eckpunkts vom Ursprung</t>
  </si>
  <si>
    <t>Senkrechter Abstand des Eckpunkts vom Ursprung</t>
  </si>
  <si>
    <t>Auflösen</t>
  </si>
  <si>
    <t>= R₁ − 5 einsetzen und quadrieren:</t>
  </si>
  <si>
    <t>(R₁ − 5)² = (R₁ − 31)² + (R₁ − 40)²</t>
  </si>
  <si>
    <t>Ausmultipliziert ergibt das eine quadratische Gleichung:</t>
  </si>
  <si>
    <t>R₁² − 132·R₁ + 2536 = 0</t>
  </si>
  <si>
    <t>Lösung (die geometrisch sinnvolle, größere Wurzel):</t>
  </si>
  <si>
    <t>R₁ = 66 + √1820 = 66 + 2·√455 ≈ 108,66 mm</t>
  </si>
  <si>
    <t>R₂ = R₁ − 5 ≈ 103,66 mm</t>
  </si>
  <si>
    <t>Allgemeine Formel</t>
  </si>
  <si>
    <t>R₁ = (d_h + d_v − c) + √[ 2·(d_h − c)·(d_v − c) ]</t>
  </si>
  <si>
    <t>R₂ = R₁ − c</t>
  </si>
  <si>
    <t>Variablen</t>
  </si>
  <si>
    <t>d_h</t>
  </si>
  <si>
    <t>d_v</t>
  </si>
  <si>
    <t>c</t>
  </si>
  <si>
    <t>Differenz R1=R2 +c</t>
  </si>
  <si>
    <t>Berechnung</t>
  </si>
  <si>
    <t>AUSBRAND RADIUS</t>
  </si>
  <si>
    <t>CUT-OUT RADIUS</t>
  </si>
  <si>
    <t>Eckradius des Ausbrandes. 0 entspricht 90° bzw. Rissfänger.</t>
  </si>
  <si>
    <t>Aufstellen der Gleichungen</t>
  </si>
  <si>
    <t>R₂ = √2 · (R₁ − 31)</t>
  </si>
  <si>
    <t>R₁ = R₂ + 5</t>
  </si>
  <si>
    <t>R₁ in die erste Gleichung eingesetzt:</t>
  </si>
  <si>
    <t>R₁ = √2 · (R₁ − 31) + 5</t>
  </si>
  <si>
    <t>R₁ · (1 − √2) = 5 − 31·√2</t>
  </si>
  <si>
    <t>R₁ = (5 − 31·√2) / (1 − √2) = 57 + 26·√2</t>
  </si>
  <si>
    <t>Allgemein (mit Spaltmaß d und Differenz c, hier d = 31, c = 5):</t>
  </si>
  <si>
    <t>R₁ = (c − √2·d) / (1 − √2) bzw. umgeformt R₁ = 2d − c + √2·(d − c)</t>
  </si>
  <si>
    <t>Ergebnis</t>
  </si>
  <si>
    <t>R₁ = 57 + 26·√2 ≈ 93,77 mm</t>
  </si>
  <si>
    <t>R₂ = 52 + 26·√2 ≈ 88,77 mm</t>
  </si>
  <si>
    <t>Weil beide Spalte gleich groß sind (31 mm), liegt der grüne Eckpunkt auf der 45°-Linie.</t>
  </si>
  <si>
    <t>Sein waagerechter und sein senkrechter Abstand vom Ursprung sind jeweils R₁ − 31, also:</t>
  </si>
  <si>
    <t>d</t>
  </si>
  <si>
    <t>Corner radius of the cutout. A value of 0 corresponds to 90° (or a crack arrestor)</t>
  </si>
  <si>
    <t>[B]</t>
  </si>
  <si>
    <t>TÜRSPALT</t>
  </si>
  <si>
    <t>GAP</t>
  </si>
  <si>
    <t>Luftspalt unter Türblatt (4-12mm)</t>
  </si>
  <si>
    <t>Air gap under door leaf (0-12mm)</t>
  </si>
  <si>
    <t>Türspalt unter dem Türblatt, max. 12mm</t>
  </si>
  <si>
    <t>Gap under door leaf, max. 12mm</t>
  </si>
  <si>
    <t>EINBAULAGE</t>
  </si>
  <si>
    <t>INSTALLATION POSITION</t>
  </si>
  <si>
    <t>HOSE PORT</t>
  </si>
  <si>
    <t>[X]</t>
  </si>
  <si>
    <t>Einbaulage des Türsystems zum Schott, [G]: Glatte Seite des Schottes; [P]: Profilseite</t>
  </si>
  <si>
    <t>Installation position of the door system relative to the bulkhead; [G]: Smooth side of the bulkhead; [P]: Profiled side.</t>
  </si>
  <si>
    <t>X</t>
  </si>
  <si>
    <t>[G]</t>
  </si>
  <si>
    <t>F11 DRÜCKEN FÜR INFO JE SPALTE</t>
  </si>
  <si>
    <t>PRESS F11 FOR COLUMN INFO</t>
  </si>
  <si>
    <t>SCHOTT AUSBRAND</t>
  </si>
  <si>
    <t>BULKHEAD CUT-OUT</t>
  </si>
  <si>
    <t>d_h = R₁ − √[ (d_v − c)·(2·R₁ − d_v − c) ]</t>
  </si>
  <si>
    <t>dh</t>
  </si>
  <si>
    <t>DEUTSCH</t>
  </si>
  <si>
    <t>SCHLAUCH KLAPPE</t>
  </si>
  <si>
    <t>Mittenabstand (c/c) Fixierung, horizontal</t>
  </si>
  <si>
    <t>Mittenabstand (c/c) Fixierung, vertikal</t>
  </si>
  <si>
    <t>Distance center to centre of fixing, vertical</t>
  </si>
  <si>
    <t>Ausführung der Eckradien des Ausbrandes: Viertelkreis o. Rissfänger</t>
  </si>
  <si>
    <t>Execution of corner radii for the cutout: quarter-circle or crack arrester</t>
  </si>
  <si>
    <t>TYP AUSBRAND</t>
  </si>
  <si>
    <t>CUT-OUT TYPE</t>
  </si>
  <si>
    <t>[V]</t>
  </si>
  <si>
    <t>Eckradius des Ausbrandes. 0 entspricht 90°. Der max. Radius für Typ [V] beträgt 90mm. Größere Radien sind ohne Rissfänger nur mit zusätzlichen Abdeckrahmen möglich (siehe Abdeckrahmen). Bei Ausführung eines Rissfängers können auch größere Radien realisiert werden.</t>
  </si>
  <si>
    <t>Corner radius of the cutout. 0 corresponds to 90°. The maximum radius for type [V] is 90 mm. Larger radii are only possible with additional cover frames (see Cover frames) unless a crack arrester is used. Larger radii can also be achieved if a crack arrester is incorporated.</t>
  </si>
  <si>
    <t>Überstand des Abdeckrahmens</t>
  </si>
  <si>
    <t>Projection of the cover frame</t>
  </si>
  <si>
    <t>ÜBERSTAND ABDECKRAHMEN</t>
  </si>
  <si>
    <t>Überstand des Abdeckrahmens. Wenn aus Festigkeitsgründen die Radien des Ausbrandes (Typ [V]) größer als 90mm sein müssen, kann der Ausbrand nicht größer ausgeführt werden ohne die freien Flächen nachträglich mit einem Überstand abzudecken. Der Parameter 20 ergibt sich aus dem Eckradius</t>
  </si>
  <si>
    <t>Overhang of the cover frame. If the radii of the cutout (Type [V]) must exceed 90 mm for structural reasons, the cutout cannot be made larger without subsequently covering the open areas with an overhang. Parameter 20 is derived from the corner radius.</t>
  </si>
  <si>
    <t>d = R₁ − (R₁ − 10) / √2</t>
  </si>
  <si>
    <t>Schlauchklappe, verschiebbare horiziontale Trennung des Türblattes.</t>
  </si>
  <si>
    <t xml:space="preserve">Hose port: sliding horizontal separation of the door leaf. </t>
  </si>
  <si>
    <t>Ausführung des Sülls: [A] = Schott montierte Variante (12: &gt;=170mm), Anlage ist vom Deck entkoppelt; [B] = Schwingungsdämpfer auf Deck montiert (12: 85-169mm); [C] = Montage ohne Schwingungsdämpfer direkt auf Deck (12: 8-84mm)</t>
  </si>
  <si>
    <t>Sill configuration: [A] = Bulkhead-mounted variant (system decoupled from the deck) (12: &gt;=170mm); [B] = Vibration dampers mounted on the deck (12: 85-169mm); [C] = Mounting directly on the deck (without vibration dampers) (12: 8-84mm)</t>
  </si>
  <si>
    <t>Vers. 1.4 | 15.06.2026</t>
  </si>
  <si>
    <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</si>
</sst>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
  </numFmts>
  <fonts count="21" x14ac:knownFonts="1">
    <font>
      <sz val="10"/>
      <color theme="1"/>
      <name val="Arial"/>
      <family val="2"/>
    </font>
    <font>
      <b/>
      <sz val="10"/>
      <color rgb="FF08284E"/>
      <name val="Arial"/>
      <family val="2"/>
    </font>
    <font>
      <sz val="10"/>
      <name val="Arial"/>
      <family val="2"/>
    </font>
    <font>
      <sz val="9"/>
      <color theme="0" tint="-0.34998626667073579"/>
      <name val="Arial"/>
      <family val="2"/>
    </font>
    <font>
      <i/>
      <sz val="8"/>
      <color theme="1" tint="0.499984740745262"/>
      <name val="Arial"/>
      <family val="2"/>
    </font>
    <font>
      <sz val="10"/>
      <color theme="0"/>
      <name val="Arial"/>
      <family val="2"/>
    </font>
    <font>
      <sz val="10"/>
      <color theme="4" tint="-0.499984740745262"/>
      <name val="Arial"/>
      <family val="2"/>
    </font>
    <font>
      <b/>
      <sz val="10"/>
      <color theme="4" tint="-0.499984740745262"/>
      <name val="Arial"/>
      <family val="2"/>
    </font>
    <font>
      <sz val="10"/>
      <color rgb="FFC00000"/>
      <name val="Arial"/>
      <family val="2"/>
    </font>
    <font>
      <i/>
      <sz val="9"/>
      <color theme="4" tint="-0.249977111117893"/>
      <name val="Arial"/>
      <family val="2"/>
    </font>
    <font>
      <vertAlign val="subscript"/>
      <sz val="10"/>
      <color theme="1"/>
      <name val="Arial"/>
      <family val="2"/>
    </font>
    <font>
      <sz val="10"/>
      <color theme="5" tint="-0.499984740745262"/>
      <name val="Arial"/>
      <family val="2"/>
    </font>
    <font>
      <b/>
      <sz val="10"/>
      <color rgb="FFC00000"/>
      <name val="Arial"/>
      <family val="2"/>
    </font>
    <font>
      <i/>
      <sz val="10"/>
      <color theme="0" tint="-0.499984740745262"/>
      <name val="Arial"/>
      <family val="2"/>
    </font>
    <font>
      <i/>
      <sz val="10"/>
      <color theme="1" tint="0.499984740745262"/>
      <name val="Arial"/>
      <family val="2"/>
    </font>
    <font>
      <vertAlign val="subscript"/>
      <sz val="10"/>
      <color rgb="FFC00000"/>
      <name val="Arial"/>
      <family val="2"/>
    </font>
    <font>
      <sz val="9"/>
      <color theme="1"/>
      <name val="Arial"/>
      <family val="2"/>
    </font>
    <font>
      <sz val="9"/>
      <color rgb="FFC00000"/>
      <name val="Arial"/>
      <family val="2"/>
    </font>
    <font>
      <b/>
      <sz val="10"/>
      <color theme="1"/>
      <name val="Arial"/>
      <family val="2"/>
    </font>
    <font>
      <i/>
      <sz val="10"/>
      <color theme="4" tint="-0.249977111117893"/>
      <name val="Arial"/>
      <family val="2"/>
    </font>
    <font>
      <sz val="10"/>
      <color theme="4" tint="0.39997558519241921"/>
      <name val="Wingdings 3"/>
      <family val="1"/>
      <charset val="2"/>
    </font>
  </fonts>
  <fills count="9">
    <fill>
      <patternFill patternType="none"/>
    </fill>
    <fill>
      <patternFill patternType="gray125"/>
    </fill>
    <fill>
      <patternFill patternType="solid">
        <fgColor theme="7"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s>
  <borders count="39">
    <border>
      <left/>
      <right/>
      <top/>
      <bottom/>
      <diagonal/>
    </border>
    <border>
      <left/>
      <right/>
      <top style="thin">
        <color rgb="FFC00000"/>
      </top>
      <bottom style="thin">
        <color rgb="FFC00000"/>
      </bottom>
      <diagonal/>
    </border>
    <border>
      <left/>
      <right/>
      <top style="thin">
        <color rgb="FF9B0E39"/>
      </top>
      <bottom style="thin">
        <color rgb="FF9B0E39"/>
      </bottom>
      <diagonal/>
    </border>
    <border>
      <left style="thin">
        <color theme="4" tint="-0.24994659260841701"/>
      </left>
      <right/>
      <top style="thin">
        <color theme="4" tint="-0.24994659260841701"/>
      </top>
      <bottom/>
      <diagonal/>
    </border>
    <border>
      <left/>
      <right/>
      <top style="thin">
        <color theme="4" tint="-0.24994659260841701"/>
      </top>
      <bottom/>
      <diagonal/>
    </border>
    <border>
      <left/>
      <right style="thin">
        <color theme="4" tint="-0.24994659260841701"/>
      </right>
      <top style="thin">
        <color theme="4" tint="-0.24994659260841701"/>
      </top>
      <bottom/>
      <diagonal/>
    </border>
    <border>
      <left style="thin">
        <color theme="4" tint="-0.24994659260841701"/>
      </left>
      <right/>
      <top/>
      <bottom/>
      <diagonal/>
    </border>
    <border>
      <left/>
      <right style="thin">
        <color theme="4" tint="-0.24994659260841701"/>
      </right>
      <top/>
      <bottom/>
      <diagonal/>
    </border>
    <border>
      <left style="thin">
        <color theme="4" tint="-0.24994659260841701"/>
      </left>
      <right/>
      <top/>
      <bottom style="thin">
        <color theme="4" tint="-0.24994659260841701"/>
      </bottom>
      <diagonal/>
    </border>
    <border>
      <left/>
      <right/>
      <top/>
      <bottom style="thin">
        <color theme="4" tint="-0.24994659260841701"/>
      </bottom>
      <diagonal/>
    </border>
    <border>
      <left/>
      <right style="thin">
        <color theme="4" tint="-0.24994659260841701"/>
      </right>
      <top/>
      <bottom style="thin">
        <color theme="4" tint="-0.24994659260841701"/>
      </bottom>
      <diagonal/>
    </border>
    <border>
      <left style="thin">
        <color theme="4" tint="-0.24994659260841701"/>
      </left>
      <right/>
      <top style="thin">
        <color theme="4" tint="-0.24994659260841701"/>
      </top>
      <bottom style="thin">
        <color theme="0" tint="-0.24994659260841701"/>
      </bottom>
      <diagonal/>
    </border>
    <border>
      <left/>
      <right/>
      <top style="thin">
        <color theme="4" tint="-0.24994659260841701"/>
      </top>
      <bottom style="thin">
        <color theme="0" tint="-0.24994659260841701"/>
      </bottom>
      <diagonal/>
    </border>
    <border>
      <left/>
      <right style="thin">
        <color theme="4" tint="-0.24994659260841701"/>
      </right>
      <top style="thin">
        <color theme="4" tint="-0.24994659260841701"/>
      </top>
      <bottom style="thin">
        <color theme="0" tint="-0.24994659260841701"/>
      </bottom>
      <diagonal/>
    </border>
    <border>
      <left style="thin">
        <color theme="4"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4" tint="-0.24994659260841701"/>
      </right>
      <top style="thin">
        <color theme="0" tint="-0.24994659260841701"/>
      </top>
      <bottom style="thin">
        <color theme="0" tint="-0.24994659260841701"/>
      </bottom>
      <diagonal/>
    </border>
    <border>
      <left style="thin">
        <color theme="4" tint="-0.24994659260841701"/>
      </left>
      <right/>
      <top style="thin">
        <color theme="0" tint="-0.24994659260841701"/>
      </top>
      <bottom style="thin">
        <color theme="4" tint="-0.24994659260841701"/>
      </bottom>
      <diagonal/>
    </border>
    <border>
      <left/>
      <right/>
      <top style="thin">
        <color theme="0" tint="-0.24994659260841701"/>
      </top>
      <bottom style="thin">
        <color theme="4" tint="-0.24994659260841701"/>
      </bottom>
      <diagonal/>
    </border>
    <border>
      <left/>
      <right style="thin">
        <color theme="4" tint="-0.24994659260841701"/>
      </right>
      <top style="thin">
        <color theme="0" tint="-0.24994659260841701"/>
      </top>
      <bottom style="thin">
        <color theme="4" tint="-0.24994659260841701"/>
      </bottom>
      <diagonal/>
    </border>
    <border>
      <left style="thin">
        <color theme="5" tint="-0.24994659260841701"/>
      </left>
      <right style="thin">
        <color theme="5" tint="-0.24994659260841701"/>
      </right>
      <top style="thin">
        <color theme="5" tint="-0.24994659260841701"/>
      </top>
      <bottom/>
      <diagonal/>
    </border>
    <border>
      <left style="thin">
        <color theme="5" tint="-0.24994659260841701"/>
      </left>
      <right style="thin">
        <color theme="5" tint="-0.24994659260841701"/>
      </right>
      <top/>
      <bottom/>
      <diagonal/>
    </border>
    <border>
      <left style="thin">
        <color theme="5" tint="-0.24994659260841701"/>
      </left>
      <right style="thin">
        <color theme="5" tint="-0.24994659260841701"/>
      </right>
      <top/>
      <bottom style="thin">
        <color theme="5" tint="-0.24994659260841701"/>
      </bottom>
      <diagonal/>
    </border>
    <border>
      <left style="thin">
        <color theme="5" tint="-0.24994659260841701"/>
      </left>
      <right style="thin">
        <color theme="5" tint="-0.24994659260841701"/>
      </right>
      <top style="thin">
        <color theme="5" tint="0.59996337778862885"/>
      </top>
      <bottom style="thin">
        <color theme="5" tint="0.59996337778862885"/>
      </bottom>
      <diagonal/>
    </border>
    <border>
      <left/>
      <right style="thin">
        <color theme="5" tint="-0.24994659260841701"/>
      </right>
      <top/>
      <bottom/>
      <diagonal/>
    </border>
    <border>
      <left style="thin">
        <color theme="5" tint="-0.24994659260841701"/>
      </left>
      <right/>
      <top/>
      <bottom/>
      <diagonal/>
    </border>
    <border>
      <left style="thin">
        <color theme="5" tint="-0.24994659260841701"/>
      </left>
      <right/>
      <top style="thin">
        <color theme="5" tint="0.59996337778862885"/>
      </top>
      <bottom style="thin">
        <color theme="5" tint="0.59996337778862885"/>
      </bottom>
      <diagonal/>
    </border>
    <border>
      <left/>
      <right/>
      <top style="thin">
        <color theme="5" tint="0.59996337778862885"/>
      </top>
      <bottom style="thin">
        <color theme="5" tint="0.59996337778862885"/>
      </bottom>
      <diagonal/>
    </border>
    <border>
      <left/>
      <right style="thin">
        <color theme="5" tint="-0.24994659260841701"/>
      </right>
      <top style="thin">
        <color theme="5" tint="0.59996337778862885"/>
      </top>
      <bottom style="thin">
        <color theme="5" tint="0.59996337778862885"/>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style="thin">
        <color theme="5" tint="-0.24994659260841701"/>
      </right>
      <top style="thin">
        <color theme="5" tint="-0.24994659260841701"/>
      </top>
      <bottom style="thin">
        <color theme="5"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s>
  <cellStyleXfs count="1">
    <xf numFmtId="0" fontId="0" fillId="0" borderId="0"/>
  </cellStyleXfs>
  <cellXfs count="152">
    <xf numFmtId="0" fontId="0" fillId="0" borderId="0" xfId="0"/>
    <xf numFmtId="20" fontId="3" fillId="0" borderId="0" xfId="0" quotePrefix="1" applyNumberFormat="1" applyFont="1" applyAlignment="1">
      <alignment horizontal="left" vertical="center"/>
    </xf>
    <xf numFmtId="0" fontId="1" fillId="2" borderId="1" xfId="0" applyFont="1" applyFill="1" applyBorder="1"/>
    <xf numFmtId="0" fontId="4" fillId="2" borderId="2" xfId="0" applyFont="1" applyFill="1" applyBorder="1" applyAlignment="1">
      <alignment horizontal="right" vertical="center"/>
    </xf>
    <xf numFmtId="0" fontId="0" fillId="0" borderId="0" xfId="0" applyAlignment="1">
      <alignment horizontal="center" vertical="center"/>
    </xf>
    <xf numFmtId="0" fontId="0" fillId="0" borderId="7" xfId="0" applyBorder="1"/>
    <xf numFmtId="0" fontId="0" fillId="0" borderId="10" xfId="0" applyBorder="1"/>
    <xf numFmtId="0" fontId="7" fillId="0" borderId="0" xfId="0" applyFont="1"/>
    <xf numFmtId="0" fontId="0" fillId="0" borderId="11" xfId="0"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right" vertical="center"/>
    </xf>
    <xf numFmtId="0" fontId="0" fillId="0" borderId="15" xfId="0" applyBorder="1" applyAlignment="1">
      <alignment horizontal="center" vertical="center"/>
    </xf>
    <xf numFmtId="0" fontId="0" fillId="0" borderId="14" xfId="0" applyBorder="1"/>
    <xf numFmtId="0" fontId="0" fillId="0" borderId="17" xfId="0" applyBorder="1"/>
    <xf numFmtId="0" fontId="0" fillId="0" borderId="18" xfId="0" applyBorder="1" applyAlignment="1">
      <alignment horizontal="center" vertical="center"/>
    </xf>
    <xf numFmtId="0" fontId="0" fillId="0" borderId="17" xfId="0"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0" fillId="5" borderId="0" xfId="0" applyFill="1"/>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65" fontId="0" fillId="0" borderId="23" xfId="0" applyNumberFormat="1" applyBorder="1" applyAlignment="1">
      <alignment horizontal="center" vertical="center"/>
    </xf>
    <xf numFmtId="0" fontId="8" fillId="4" borderId="0" xfId="0" applyFont="1" applyFill="1"/>
    <xf numFmtId="0" fontId="0" fillId="0" borderId="12" xfId="0" applyBorder="1" applyAlignment="1">
      <alignment horizontal="right" vertical="center"/>
    </xf>
    <xf numFmtId="0" fontId="0" fillId="0" borderId="15" xfId="0" applyBorder="1" applyAlignment="1">
      <alignment horizontal="right" vertical="center"/>
    </xf>
    <xf numFmtId="0" fontId="0" fillId="0" borderId="18" xfId="0" applyBorder="1" applyAlignment="1">
      <alignment horizontal="right" vertical="center"/>
    </xf>
    <xf numFmtId="0" fontId="9" fillId="0" borderId="22" xfId="0" applyFont="1" applyBorder="1" applyAlignment="1">
      <alignment horizontal="center" vertical="center"/>
    </xf>
    <xf numFmtId="0" fontId="0" fillId="0" borderId="4" xfId="0" applyBorder="1"/>
    <xf numFmtId="0" fontId="0" fillId="0" borderId="9" xfId="0" applyBorder="1"/>
    <xf numFmtId="0" fontId="0" fillId="0" borderId="11" xfId="0" applyBorder="1"/>
    <xf numFmtId="0" fontId="0" fillId="0" borderId="12" xfId="0" applyBorder="1"/>
    <xf numFmtId="0" fontId="0" fillId="0" borderId="15" xfId="0" applyBorder="1"/>
    <xf numFmtId="0" fontId="0" fillId="0" borderId="18" xfId="0" applyBorder="1"/>
    <xf numFmtId="0" fontId="2" fillId="0" borderId="0" xfId="0" applyFont="1"/>
    <xf numFmtId="0" fontId="0" fillId="0" borderId="5" xfId="0" applyBorder="1"/>
    <xf numFmtId="0" fontId="5" fillId="0" borderId="3" xfId="0" applyFont="1" applyBorder="1" applyAlignment="1">
      <alignment vertical="top" wrapText="1"/>
    </xf>
    <xf numFmtId="0" fontId="0" fillId="6" borderId="0" xfId="0" applyFill="1" applyAlignment="1">
      <alignment horizontal="center" vertical="center"/>
    </xf>
    <xf numFmtId="0" fontId="6" fillId="3" borderId="13" xfId="0" applyFont="1" applyFill="1" applyBorder="1" applyAlignment="1" applyProtection="1">
      <alignment horizontal="left" vertical="center"/>
      <protection locked="0"/>
    </xf>
    <xf numFmtId="164" fontId="12" fillId="3" borderId="16" xfId="0" applyNumberFormat="1" applyFont="1" applyFill="1" applyBorder="1" applyAlignment="1" applyProtection="1">
      <alignment horizontal="center" vertical="center"/>
      <protection locked="0"/>
    </xf>
    <xf numFmtId="0" fontId="6" fillId="3" borderId="16" xfId="0" applyFont="1" applyFill="1" applyBorder="1" applyProtection="1">
      <protection locked="0"/>
    </xf>
    <xf numFmtId="0" fontId="6" fillId="3" borderId="19" xfId="0" applyFont="1" applyFill="1" applyBorder="1" applyProtection="1">
      <protection locked="0"/>
    </xf>
    <xf numFmtId="0" fontId="6" fillId="3" borderId="16" xfId="0" applyFont="1" applyFill="1" applyBorder="1" applyAlignment="1" applyProtection="1">
      <alignment horizontal="left" vertical="center"/>
      <protection locked="0"/>
    </xf>
    <xf numFmtId="0" fontId="6" fillId="3" borderId="19" xfId="0" applyFont="1" applyFill="1" applyBorder="1" applyAlignment="1" applyProtection="1">
      <alignment horizontal="left" vertical="center"/>
      <protection locked="0"/>
    </xf>
    <xf numFmtId="0" fontId="13" fillId="0" borderId="0" xfId="0" applyFont="1" applyAlignment="1">
      <alignment horizontal="center" vertical="center"/>
    </xf>
    <xf numFmtId="0" fontId="0" fillId="0" borderId="23" xfId="0" applyBorder="1" applyAlignment="1" applyProtection="1">
      <alignment horizontal="center" vertical="center"/>
      <protection locked="0"/>
    </xf>
    <xf numFmtId="0" fontId="0" fillId="0" borderId="23" xfId="0" applyBorder="1" applyProtection="1">
      <protection locked="0"/>
    </xf>
    <xf numFmtId="0" fontId="0" fillId="0" borderId="23" xfId="0" applyBorder="1" applyAlignment="1" applyProtection="1">
      <alignment vertical="center"/>
      <protection locked="0"/>
    </xf>
    <xf numFmtId="0" fontId="6" fillId="3" borderId="13" xfId="0" applyFont="1" applyFill="1" applyBorder="1" applyAlignment="1">
      <alignment horizontal="left" vertical="center"/>
    </xf>
    <xf numFmtId="0" fontId="0" fillId="0" borderId="14" xfId="0" applyBorder="1" applyAlignment="1" applyProtection="1">
      <alignment horizontal="right" vertical="center"/>
      <protection locked="0"/>
    </xf>
    <xf numFmtId="0" fontId="0" fillId="0" borderId="17" xfId="0" applyBorder="1" applyAlignment="1" applyProtection="1">
      <alignment horizontal="right" vertical="center"/>
      <protection locked="0"/>
    </xf>
    <xf numFmtId="0" fontId="11" fillId="0" borderId="4" xfId="0" applyFont="1" applyBorder="1" applyAlignment="1">
      <alignment horizontal="left" vertical="top" wrapText="1"/>
    </xf>
    <xf numFmtId="0" fontId="11" fillId="0" borderId="6" xfId="0" applyFont="1" applyBorder="1" applyAlignment="1">
      <alignment horizontal="left" vertical="top"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xf numFmtId="0" fontId="0" fillId="0" borderId="20" xfId="0" applyBorder="1" applyAlignment="1">
      <alignment horizontal="center" textRotation="90" wrapText="1"/>
    </xf>
    <xf numFmtId="0" fontId="0" fillId="0" borderId="21" xfId="0" applyBorder="1" applyAlignment="1">
      <alignment horizontal="center" textRotation="90" wrapText="1"/>
    </xf>
    <xf numFmtId="0" fontId="0" fillId="0" borderId="22" xfId="0" applyBorder="1" applyAlignment="1">
      <alignment horizontal="center" textRotation="90" wrapText="1"/>
    </xf>
    <xf numFmtId="0" fontId="9" fillId="0" borderId="31" xfId="0" applyFont="1" applyBorder="1" applyAlignment="1">
      <alignment horizontal="center" vertical="center"/>
    </xf>
    <xf numFmtId="0" fontId="0" fillId="0" borderId="36" xfId="0" applyBorder="1"/>
    <xf numFmtId="0" fontId="0" fillId="0" borderId="37" xfId="0" applyBorder="1"/>
    <xf numFmtId="0" fontId="11" fillId="0" borderId="38" xfId="0" applyFont="1" applyBorder="1" applyAlignment="1">
      <alignment horizontal="right"/>
    </xf>
    <xf numFmtId="0" fontId="11" fillId="0" borderId="0" xfId="0" applyFont="1" applyAlignment="1">
      <alignment horizontal="left" vertical="top" wrapText="1"/>
    </xf>
    <xf numFmtId="0" fontId="11" fillId="0" borderId="4" xfId="0" applyFont="1" applyBorder="1" applyAlignment="1">
      <alignment vertical="top" wrapText="1"/>
    </xf>
    <xf numFmtId="0" fontId="11" fillId="0" borderId="0" xfId="0" applyFont="1" applyAlignment="1">
      <alignment vertical="top" wrapText="1"/>
    </xf>
    <xf numFmtId="0" fontId="11" fillId="0" borderId="9" xfId="0" applyFont="1" applyBorder="1" applyAlignment="1">
      <alignment vertical="top" wrapText="1"/>
    </xf>
    <xf numFmtId="0" fontId="0" fillId="0" borderId="21" xfId="0" applyBorder="1" applyAlignment="1">
      <alignment horizontal="center" vertical="center" wrapText="1" shrinkToFit="1"/>
    </xf>
    <xf numFmtId="165" fontId="14" fillId="0" borderId="23" xfId="0" applyNumberFormat="1" applyFont="1" applyBorder="1" applyAlignment="1">
      <alignment horizontal="center" vertical="center"/>
    </xf>
    <xf numFmtId="165" fontId="2" fillId="0" borderId="26" xfId="0" applyNumberFormat="1" applyFont="1" applyBorder="1" applyAlignment="1" applyProtection="1">
      <alignment horizontal="right" vertical="center"/>
      <protection locked="0"/>
    </xf>
    <xf numFmtId="165" fontId="2" fillId="0" borderId="27" xfId="0" applyNumberFormat="1" applyFont="1" applyBorder="1" applyAlignment="1">
      <alignment horizontal="center"/>
    </xf>
    <xf numFmtId="0" fontId="2" fillId="0" borderId="28" xfId="0" applyFont="1" applyBorder="1" applyAlignment="1" applyProtection="1">
      <alignment horizontal="left" vertical="center"/>
      <protection locked="0"/>
    </xf>
    <xf numFmtId="0" fontId="2" fillId="0" borderId="23" xfId="0" applyFont="1" applyBorder="1" applyAlignment="1" applyProtection="1">
      <alignment horizontal="center" vertical="center"/>
      <protection locked="0"/>
    </xf>
    <xf numFmtId="0" fontId="2" fillId="0" borderId="23" xfId="0" applyFont="1" applyBorder="1" applyAlignment="1" applyProtection="1">
      <alignment horizontal="left" vertical="center"/>
      <protection locked="0"/>
    </xf>
    <xf numFmtId="0" fontId="2" fillId="0" borderId="23" xfId="0" applyFont="1" applyBorder="1" applyAlignment="1" applyProtection="1">
      <alignment vertical="center"/>
      <protection locked="0"/>
    </xf>
    <xf numFmtId="1" fontId="2" fillId="0" borderId="23" xfId="0" applyNumberFormat="1" applyFont="1" applyBorder="1" applyAlignment="1" applyProtection="1">
      <alignment horizontal="center" vertical="center"/>
      <protection locked="0"/>
    </xf>
    <xf numFmtId="1" fontId="11" fillId="0" borderId="23" xfId="0" applyNumberFormat="1" applyFont="1" applyBorder="1" applyAlignment="1">
      <alignment horizontal="center" vertical="center"/>
    </xf>
    <xf numFmtId="0" fontId="11" fillId="0" borderId="23" xfId="0" applyFont="1" applyBorder="1" applyAlignment="1">
      <alignment horizontal="center" vertical="center"/>
    </xf>
    <xf numFmtId="0" fontId="0" fillId="0" borderId="0" xfId="0" applyAlignment="1">
      <alignment horizontal="center"/>
    </xf>
    <xf numFmtId="0" fontId="16" fillId="0" borderId="21" xfId="0" applyFont="1" applyBorder="1" applyAlignment="1">
      <alignment horizontal="center" vertical="center"/>
    </xf>
    <xf numFmtId="0" fontId="16" fillId="0" borderId="22" xfId="0" applyFont="1" applyBorder="1" applyAlignment="1">
      <alignment horizontal="center" vertical="center"/>
    </xf>
    <xf numFmtId="0" fontId="16" fillId="0" borderId="22" xfId="0" quotePrefix="1" applyFont="1" applyBorder="1" applyAlignment="1">
      <alignment horizontal="center" vertical="center"/>
    </xf>
    <xf numFmtId="164" fontId="0" fillId="0" borderId="11" xfId="0" applyNumberFormat="1" applyBorder="1" applyAlignment="1">
      <alignment horizontal="right" vertical="top"/>
    </xf>
    <xf numFmtId="0" fontId="0" fillId="0" borderId="12" xfId="0" applyBorder="1" applyAlignment="1">
      <alignment horizontal="center" vertical="top"/>
    </xf>
    <xf numFmtId="164" fontId="0" fillId="0" borderId="14" xfId="0" applyNumberFormat="1" applyBorder="1" applyAlignment="1">
      <alignment horizontal="right" vertical="top"/>
    </xf>
    <xf numFmtId="0" fontId="0" fillId="0" borderId="15" xfId="0" applyBorder="1" applyAlignment="1">
      <alignment horizontal="center" vertical="top"/>
    </xf>
    <xf numFmtId="164" fontId="0" fillId="0" borderId="17" xfId="0" applyNumberFormat="1" applyBorder="1" applyAlignment="1">
      <alignment horizontal="right" vertical="top"/>
    </xf>
    <xf numFmtId="0" fontId="0" fillId="0" borderId="18" xfId="0" applyBorder="1" applyAlignment="1">
      <alignment horizontal="center" vertical="top"/>
    </xf>
    <xf numFmtId="0" fontId="17" fillId="0" borderId="35" xfId="0" applyFont="1" applyBorder="1" applyAlignment="1">
      <alignment horizontal="center" vertical="center"/>
    </xf>
    <xf numFmtId="0" fontId="17" fillId="0" borderId="36" xfId="0" applyFont="1" applyBorder="1" applyAlignment="1">
      <alignment horizontal="center" vertical="center"/>
    </xf>
    <xf numFmtId="0" fontId="17" fillId="0" borderId="37" xfId="0" applyFont="1" applyBorder="1" applyAlignment="1">
      <alignment horizontal="center" vertical="center"/>
    </xf>
    <xf numFmtId="0" fontId="17" fillId="0" borderId="38" xfId="0" applyFont="1" applyBorder="1" applyAlignment="1">
      <alignment horizontal="center" vertical="center"/>
    </xf>
    <xf numFmtId="0" fontId="0" fillId="7" borderId="0" xfId="0" applyFill="1"/>
    <xf numFmtId="0" fontId="18" fillId="7" borderId="0" xfId="0" applyFont="1" applyFill="1"/>
    <xf numFmtId="0" fontId="0" fillId="7" borderId="0" xfId="0" quotePrefix="1" applyFill="1"/>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165" fontId="14" fillId="0" borderId="26" xfId="0" applyNumberFormat="1" applyFont="1" applyBorder="1" applyAlignment="1">
      <alignment horizontal="right" vertical="center"/>
    </xf>
    <xf numFmtId="165" fontId="14" fillId="0" borderId="27" xfId="0" applyNumberFormat="1" applyFont="1" applyBorder="1" applyAlignment="1">
      <alignment horizontal="center"/>
    </xf>
    <xf numFmtId="0" fontId="14" fillId="0" borderId="28" xfId="0" applyFont="1" applyBorder="1" applyAlignment="1">
      <alignment horizontal="left" vertical="center"/>
    </xf>
    <xf numFmtId="0" fontId="14" fillId="0" borderId="23" xfId="0" applyFont="1" applyBorder="1" applyAlignment="1">
      <alignment horizontal="center" vertical="center"/>
    </xf>
    <xf numFmtId="0" fontId="14" fillId="0" borderId="23" xfId="0" applyFont="1" applyBorder="1" applyAlignment="1">
      <alignment horizontal="left" vertical="center"/>
    </xf>
    <xf numFmtId="0" fontId="14" fillId="0" borderId="23" xfId="0" applyFont="1" applyBorder="1" applyAlignment="1">
      <alignment vertical="center"/>
    </xf>
    <xf numFmtId="1" fontId="14" fillId="0" borderId="23" xfId="0" applyNumberFormat="1" applyFont="1" applyBorder="1" applyAlignment="1">
      <alignment horizontal="center" vertical="center"/>
    </xf>
    <xf numFmtId="0" fontId="6" fillId="8" borderId="13" xfId="0" applyFont="1" applyFill="1" applyBorder="1" applyAlignment="1">
      <alignment horizontal="left" vertical="top" wrapText="1"/>
    </xf>
    <xf numFmtId="0" fontId="6" fillId="8" borderId="16" xfId="0" applyFont="1" applyFill="1" applyBorder="1" applyAlignment="1">
      <alignment horizontal="left" vertical="top" wrapText="1"/>
    </xf>
    <xf numFmtId="0" fontId="6" fillId="8" borderId="19" xfId="0" applyFont="1" applyFill="1" applyBorder="1" applyAlignment="1">
      <alignment horizontal="left" vertical="top" wrapText="1"/>
    </xf>
    <xf numFmtId="1" fontId="2" fillId="0" borderId="23" xfId="0" applyNumberFormat="1" applyFont="1" applyBorder="1" applyAlignment="1">
      <alignment horizontal="center" vertical="center"/>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1" fillId="0" borderId="6" xfId="0" applyFont="1" applyBorder="1" applyAlignment="1">
      <alignment horizontal="left" vertical="top" wrapText="1"/>
    </xf>
    <xf numFmtId="0" fontId="11" fillId="0" borderId="0" xfId="0" applyFont="1" applyAlignment="1">
      <alignment horizontal="left" vertical="top" wrapText="1"/>
    </xf>
    <xf numFmtId="0" fontId="11" fillId="0" borderId="7" xfId="0" applyFont="1" applyBorder="1" applyAlignment="1">
      <alignment horizontal="left" vertical="top"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xf numFmtId="0" fontId="11" fillId="0" borderId="10" xfId="0" applyFont="1" applyBorder="1" applyAlignment="1">
      <alignment horizontal="left" vertical="top" wrapText="1"/>
    </xf>
    <xf numFmtId="0" fontId="16" fillId="0" borderId="20" xfId="0" applyFont="1" applyBorder="1" applyAlignment="1">
      <alignment horizontal="center" textRotation="90" wrapText="1"/>
    </xf>
    <xf numFmtId="0" fontId="16" fillId="0" borderId="21" xfId="0" applyFont="1" applyBorder="1" applyAlignment="1">
      <alignment horizontal="center" textRotation="90" wrapText="1"/>
    </xf>
    <xf numFmtId="0" fontId="16" fillId="0" borderId="22" xfId="0" applyFont="1" applyBorder="1" applyAlignment="1">
      <alignment horizontal="center" textRotation="90" wrapText="1"/>
    </xf>
    <xf numFmtId="0" fontId="16" fillId="0" borderId="29"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0" fontId="16" fillId="0" borderId="33" xfId="0" applyFont="1" applyBorder="1" applyAlignment="1">
      <alignment horizontal="center" wrapText="1"/>
    </xf>
    <xf numFmtId="0" fontId="16" fillId="0" borderId="34" xfId="0" applyFont="1" applyBorder="1" applyAlignment="1">
      <alignment horizontal="center" wrapText="1"/>
    </xf>
    <xf numFmtId="0" fontId="19" fillId="2" borderId="15" xfId="0" applyFont="1" applyFill="1" applyBorder="1" applyAlignment="1">
      <alignment horizontal="left" vertical="center"/>
    </xf>
    <xf numFmtId="0" fontId="19" fillId="2" borderId="16" xfId="0" applyFont="1" applyFill="1" applyBorder="1" applyAlignment="1">
      <alignment horizontal="left" vertical="center"/>
    </xf>
    <xf numFmtId="0" fontId="19" fillId="2" borderId="18" xfId="0" applyFont="1" applyFill="1" applyBorder="1" applyAlignment="1">
      <alignment horizontal="left" vertical="center"/>
    </xf>
    <xf numFmtId="0" fontId="19" fillId="2" borderId="19" xfId="0" applyFont="1" applyFill="1" applyBorder="1" applyAlignment="1">
      <alignment horizontal="left" vertical="center"/>
    </xf>
    <xf numFmtId="0" fontId="16" fillId="0" borderId="20" xfId="0" quotePrefix="1" applyFont="1" applyBorder="1" applyAlignment="1">
      <alignment horizontal="center" textRotation="90"/>
    </xf>
    <xf numFmtId="0" fontId="16" fillId="0" borderId="21" xfId="0" quotePrefix="1" applyFont="1" applyBorder="1" applyAlignment="1">
      <alignment horizontal="center" textRotation="90"/>
    </xf>
    <xf numFmtId="0" fontId="16" fillId="0" borderId="22" xfId="0" quotePrefix="1" applyFont="1" applyBorder="1" applyAlignment="1">
      <alignment horizontal="center" textRotation="90"/>
    </xf>
    <xf numFmtId="0" fontId="19" fillId="2" borderId="12" xfId="0" applyFont="1" applyFill="1" applyBorder="1" applyAlignment="1">
      <alignment horizontal="left" vertical="center"/>
    </xf>
    <xf numFmtId="0" fontId="19" fillId="2" borderId="13" xfId="0" applyFont="1" applyFill="1" applyBorder="1" applyAlignment="1">
      <alignment horizontal="left" vertical="center"/>
    </xf>
    <xf numFmtId="0" fontId="0" fillId="0" borderId="20" xfId="0" applyBorder="1" applyAlignment="1">
      <alignment horizontal="center" textRotation="90" wrapText="1"/>
    </xf>
    <xf numFmtId="0" fontId="0" fillId="0" borderId="21" xfId="0" applyBorder="1" applyAlignment="1">
      <alignment horizontal="center" textRotation="90" wrapText="1"/>
    </xf>
    <xf numFmtId="0" fontId="0" fillId="0" borderId="22" xfId="0" applyBorder="1" applyAlignment="1">
      <alignment horizontal="center" textRotation="90" wrapText="1"/>
    </xf>
    <xf numFmtId="0" fontId="16" fillId="0" borderId="32" xfId="0" applyFont="1" applyBorder="1" applyAlignment="1">
      <alignment horizontal="center" wrapText="1"/>
    </xf>
    <xf numFmtId="0" fontId="16" fillId="0" borderId="25" xfId="0" applyFont="1" applyBorder="1" applyAlignment="1">
      <alignment horizontal="center" vertical="center"/>
    </xf>
    <xf numFmtId="0" fontId="16" fillId="0" borderId="0" xfId="0" applyFont="1" applyAlignment="1">
      <alignment horizontal="center" vertical="center"/>
    </xf>
    <xf numFmtId="0" fontId="16" fillId="0" borderId="24" xfId="0" applyFont="1" applyBorder="1" applyAlignment="1">
      <alignment horizontal="center" vertical="center"/>
    </xf>
    <xf numFmtId="0" fontId="16" fillId="0" borderId="32" xfId="0" applyFont="1" applyBorder="1" applyAlignment="1">
      <alignment horizontal="center" wrapText="1" shrinkToFit="1"/>
    </xf>
    <xf numFmtId="0" fontId="16" fillId="0" borderId="33" xfId="0" applyFont="1" applyBorder="1" applyAlignment="1">
      <alignment horizontal="center" wrapText="1" shrinkToFit="1"/>
    </xf>
    <xf numFmtId="0" fontId="16" fillId="0" borderId="34" xfId="0" applyFont="1" applyBorder="1" applyAlignment="1">
      <alignment horizontal="center" wrapText="1" shrinkToFit="1"/>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16" fillId="0" borderId="32" xfId="0" applyFont="1" applyBorder="1" applyAlignment="1">
      <alignment horizontal="center" textRotation="90" wrapText="1" shrinkToFit="1"/>
    </xf>
    <xf numFmtId="0" fontId="16" fillId="0" borderId="34" xfId="0" applyFont="1" applyBorder="1" applyAlignment="1">
      <alignment horizontal="center" textRotation="90" wrapText="1" shrinkToFit="1"/>
    </xf>
    <xf numFmtId="0" fontId="16" fillId="0" borderId="25" xfId="0" applyFont="1" applyBorder="1" applyAlignment="1">
      <alignment horizontal="center" textRotation="90" wrapText="1" shrinkToFit="1"/>
    </xf>
    <xf numFmtId="0" fontId="16" fillId="0" borderId="24" xfId="0" applyFont="1" applyBorder="1" applyAlignment="1">
      <alignment horizontal="center" textRotation="90" wrapText="1" shrinkToFit="1"/>
    </xf>
    <xf numFmtId="0" fontId="20" fillId="0" borderId="0" xfId="0" applyFont="1" applyAlignment="1">
      <alignment horizontal="left" vertical="center"/>
    </xf>
  </cellXfs>
  <cellStyles count="1">
    <cellStyle name="Standard" xfId="0" builtinId="0"/>
  </cellStyles>
  <dxfs count="9">
    <dxf>
      <font>
        <color rgb="FFFFFF00"/>
      </font>
      <fill>
        <patternFill>
          <bgColor rgb="FFC00000"/>
        </patternFill>
      </fill>
    </dxf>
    <dxf>
      <fill>
        <patternFill patternType="gray0625">
          <fgColor theme="9" tint="0.39994506668294322"/>
          <bgColor auto="1"/>
        </patternFill>
      </fill>
      <border>
        <left style="thin">
          <color theme="5" tint="-0.24994659260841701"/>
        </left>
        <right style="thin">
          <color theme="5" tint="-0.24994659260841701"/>
        </right>
        <top style="thin">
          <color theme="5" tint="0.59996337778862885"/>
        </top>
        <bottom style="thin">
          <color theme="5" tint="0.59996337778862885"/>
        </bottom>
        <vertical/>
        <horizontal/>
      </border>
    </dxf>
    <dxf>
      <fill>
        <patternFill>
          <bgColor theme="5" tint="0.79998168889431442"/>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s>
  <tableStyles count="0" defaultTableStyle="TableStyleMedium2" defaultPivotStyle="PivotStyleLight16"/>
  <colors>
    <mruColors>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0</xdr:col>
      <xdr:colOff>211455</xdr:colOff>
      <xdr:row>1</xdr:row>
      <xdr:rowOff>169545</xdr:rowOff>
    </xdr:from>
    <xdr:to>
      <xdr:col>0</xdr:col>
      <xdr:colOff>725805</xdr:colOff>
      <xdr:row>5</xdr:row>
      <xdr:rowOff>1905</xdr:rowOff>
    </xdr:to>
    <xdr:pic>
      <xdr:nvPicPr>
        <xdr:cNvPr id="2" name="Grafik 1" descr="Bildergebnis für Symbol Einstellungen">
          <a:extLst>
            <a:ext uri="{FF2B5EF4-FFF2-40B4-BE49-F238E27FC236}">
              <a16:creationId xmlns:a16="http://schemas.microsoft.com/office/drawing/2014/main" id="{96D59A80-B2CC-46BC-BD3D-3E1484088F2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 y="340995"/>
          <a:ext cx="51435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188595</xdr:colOff>
          <xdr:row>6</xdr:row>
          <xdr:rowOff>43816</xdr:rowOff>
        </xdr:from>
        <xdr:to>
          <xdr:col>24</xdr:col>
          <xdr:colOff>150495</xdr:colOff>
          <xdr:row>14</xdr:row>
          <xdr:rowOff>150496</xdr:rowOff>
        </xdr:to>
        <xdr:pic>
          <xdr:nvPicPr>
            <xdr:cNvPr id="3" name="Grafik 2">
              <a:extLst>
                <a:ext uri="{FF2B5EF4-FFF2-40B4-BE49-F238E27FC236}">
                  <a16:creationId xmlns:a16="http://schemas.microsoft.com/office/drawing/2014/main" id="{19ECDFA9-4AF1-31E1-007C-4AFC0B162AF0}"/>
                </a:ext>
              </a:extLst>
            </xdr:cNvPr>
            <xdr:cNvPicPr>
              <a:picLocks noChangeAspect="1" noChangeArrowheads="1"/>
              <a:extLst>
                <a:ext uri="{84589F7E-364E-4C9E-8A38-B11213B215E9}">
                  <a14:cameraTool cellRange="dyn_HelpPic" spid="_x0000_s3300"/>
                </a:ext>
              </a:extLst>
            </xdr:cNvPicPr>
          </xdr:nvPicPr>
          <xdr:blipFill>
            <a:blip xmlns:r="http://schemas.openxmlformats.org/officeDocument/2006/relationships" r:embed="rId1"/>
            <a:stretch>
              <a:fillRect/>
            </a:stretch>
          </xdr:blipFill>
          <xdr:spPr bwMode="auto">
            <a:xfrm>
              <a:off x="8456295" y="1042036"/>
              <a:ext cx="2804160" cy="14478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28575</xdr:colOff>
      <xdr:row>133</xdr:row>
      <xdr:rowOff>47625</xdr:rowOff>
    </xdr:from>
    <xdr:to>
      <xdr:col>22</xdr:col>
      <xdr:colOff>2686050</xdr:colOff>
      <xdr:row>133</xdr:row>
      <xdr:rowOff>1409700</xdr:rowOff>
    </xdr:to>
    <xdr:sp macro="" textlink="">
      <xdr:nvSpPr>
        <xdr:cNvPr id="15" name="Rechteck 14">
          <a:extLst>
            <a:ext uri="{FF2B5EF4-FFF2-40B4-BE49-F238E27FC236}">
              <a16:creationId xmlns:a16="http://schemas.microsoft.com/office/drawing/2014/main" id="{92615A0F-E42D-C551-FE1C-C32B5D0592EC}"/>
            </a:ext>
          </a:extLst>
        </xdr:cNvPr>
        <xdr:cNvSpPr/>
      </xdr:nvSpPr>
      <xdr:spPr>
        <a:xfrm>
          <a:off x="18792825" y="23269575"/>
          <a:ext cx="2657475" cy="13620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28575</xdr:colOff>
      <xdr:row>99</xdr:row>
      <xdr:rowOff>47625</xdr:rowOff>
    </xdr:from>
    <xdr:to>
      <xdr:col>22</xdr:col>
      <xdr:colOff>2686050</xdr:colOff>
      <xdr:row>99</xdr:row>
      <xdr:rowOff>1409700</xdr:rowOff>
    </xdr:to>
    <xdr:sp macro="" textlink="">
      <xdr:nvSpPr>
        <xdr:cNvPr id="2" name="Rechteck 1">
          <a:extLst>
            <a:ext uri="{FF2B5EF4-FFF2-40B4-BE49-F238E27FC236}">
              <a16:creationId xmlns:a16="http://schemas.microsoft.com/office/drawing/2014/main" id="{BEA41482-9436-4E1D-9752-1C7436FE948A}"/>
            </a:ext>
          </a:extLst>
        </xdr:cNvPr>
        <xdr:cNvSpPr/>
      </xdr:nvSpPr>
      <xdr:spPr>
        <a:xfrm>
          <a:off x="11633835" y="55323105"/>
          <a:ext cx="2657475" cy="13620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4C50FD-381A-4856-8698-1DEA4CC050CE}" name="Tabelle1" displayName="Tabelle1" ref="R6:U56" totalsRowShown="0" headerRowDxfId="8" dataDxfId="7">
  <autoFilter ref="R6:U56" xr:uid="{C34C50FD-381A-4856-8698-1DEA4CC050CE}"/>
  <tableColumns count="4">
    <tableColumn id="4" xr3:uid="{AEA74120-1056-44AA-BED5-2F684ECB30F7}" name="SPALTE" dataDxfId="6">
      <calculatedColumnFormula>ROW()-6</calculatedColumnFormula>
    </tableColumn>
    <tableColumn id="1" xr3:uid="{06CBDD4D-30CD-47BF-8D1E-160B423669F1}" name="??" dataDxfId="5">
      <calculatedColumnFormula>IF(AND(Tabelle1[[#This Row],[D]]&lt;&gt;"",statSpr=1),T7,IF(AND(Tabelle1[[#This Row],[E]]&lt;&gt;"",statSpr=2),U7,""))</calculatedColumnFormula>
    </tableColumn>
    <tableColumn id="2" xr3:uid="{5862E203-AA3C-497A-8463-DE5D82F1E41F}" name="D" dataDxfId="4"/>
    <tableColumn id="3" xr3:uid="{FBA13A2F-6F72-47FC-8453-B3CA4B33E265}" name="E" dataDxfId="3"/>
  </tableColumns>
  <tableStyleInfo name="TableStyleDark9" showFirstColumn="0" showLastColumn="0" showRowStripes="1" showColumnStripes="0"/>
</table>
</file>

<file path=xl/theme/theme1.xml><?xml version="1.0" encoding="utf-8"?>
<a:theme xmlns:a="http://schemas.openxmlformats.org/drawingml/2006/main" name="Office">
  <a:themeElements>
    <a:clrScheme name="Blaugrü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5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5AAF112-7059-4487-9623-67BFB56B3B7F}">
  <we:reference id="WA200009404" version="1.0.0.8" store="Omex" storeType="OMEX"/>
  <we:alternateReferences>
    <we:reference id="WA200009404" version="1.0.0.8" store="WA200009404" storeType="OMEX"/>
  </we:alternateReferences>
  <we:properties>
    <we:property name="claude.fileId" value="&quot;ec0af1bb-57bf-4e88-92b1-6fb71937f2f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FFAC4-F546-4BEB-BC37-4AF295853A9F}">
  <sheetPr>
    <tabColor theme="5" tint="-0.499984740745262"/>
  </sheetPr>
  <dimension ref="B4:E105"/>
  <sheetViews>
    <sheetView showGridLines="0" showRowColHeaders="0" tabSelected="1" zoomScaleNormal="100" workbookViewId="0">
      <pane ySplit="6" topLeftCell="A7" activePane="bottomLeft" state="frozen"/>
      <selection pane="bottomLeft" activeCell="D9" sqref="D9"/>
    </sheetView>
  </sheetViews>
  <sheetFormatPr baseColWidth="10" defaultRowHeight="13.2" x14ac:dyDescent="0.25"/>
  <cols>
    <col min="2" max="2" width="24.5546875" customWidth="1"/>
    <col min="3" max="3" width="1.33203125" customWidth="1"/>
    <col min="4" max="4" width="47.6640625" customWidth="1"/>
    <col min="5" max="5" width="2.5546875" customWidth="1"/>
    <col min="6" max="8" width="11.5546875" customWidth="1"/>
  </cols>
  <sheetData>
    <row r="4" spans="2:5" x14ac:dyDescent="0.25">
      <c r="B4" s="2" t="str">
        <f ca="1">"LED MATRIX 11IGN.A60 | "&amp;MID(CELL("dateiname",A1),FIND("]",CELL("dateiname",A1))+1,255)</f>
        <v>LED MATRIX 11IGN.A60 | #SETTINGS</v>
      </c>
      <c r="C4" s="2"/>
      <c r="D4" s="2"/>
      <c r="E4" s="3" t="str">
        <f>VERS</f>
        <v>Vers. 1.4 | 15.06.2026</v>
      </c>
    </row>
    <row r="7" spans="2:5" x14ac:dyDescent="0.25">
      <c r="B7" s="7" t="s">
        <v>15</v>
      </c>
    </row>
    <row r="8" spans="2:5" x14ac:dyDescent="0.25">
      <c r="B8" s="8" t="s">
        <v>1</v>
      </c>
      <c r="C8" s="9" t="s">
        <v>0</v>
      </c>
      <c r="D8" s="48" t="s">
        <v>243</v>
      </c>
    </row>
    <row r="9" spans="2:5" x14ac:dyDescent="0.25">
      <c r="B9" s="10" t="s">
        <v>26</v>
      </c>
      <c r="C9" s="11" t="s">
        <v>0</v>
      </c>
      <c r="D9" s="39" t="s">
        <v>221</v>
      </c>
      <c r="E9" s="151" t="s">
        <v>244</v>
      </c>
    </row>
    <row r="10" spans="2:5" x14ac:dyDescent="0.25">
      <c r="B10" s="49"/>
      <c r="C10" s="11" t="s">
        <v>0</v>
      </c>
      <c r="D10" s="40"/>
    </row>
    <row r="11" spans="2:5" x14ac:dyDescent="0.25">
      <c r="B11" s="50"/>
      <c r="C11" s="14" t="s">
        <v>0</v>
      </c>
      <c r="D11" s="41"/>
    </row>
    <row r="14" spans="2:5" x14ac:dyDescent="0.25">
      <c r="B14" s="7" t="str">
        <f>DATEN!N29</f>
        <v>PROJEKT INFORMATION</v>
      </c>
    </row>
    <row r="15" spans="2:5" x14ac:dyDescent="0.25">
      <c r="B15" s="8" t="str">
        <f>DATEN!N7</f>
        <v>PROJEKT NAME</v>
      </c>
      <c r="C15" s="9" t="s">
        <v>0</v>
      </c>
      <c r="D15" s="38"/>
    </row>
    <row r="16" spans="2:5" x14ac:dyDescent="0.25">
      <c r="B16" s="10" t="str">
        <f>DATEN!N8</f>
        <v>LED PROJEKT NR.</v>
      </c>
      <c r="C16" s="11" t="s">
        <v>0</v>
      </c>
      <c r="D16" s="42"/>
    </row>
    <row r="17" spans="2:4" x14ac:dyDescent="0.25">
      <c r="B17" s="10" t="str">
        <f>DATEN!N9</f>
        <v>REV.</v>
      </c>
      <c r="C17" s="11" t="s">
        <v>0</v>
      </c>
      <c r="D17" s="42"/>
    </row>
    <row r="18" spans="2:4" x14ac:dyDescent="0.25">
      <c r="B18" s="10" t="str">
        <f>DATEN!N10</f>
        <v>BEARBEITER</v>
      </c>
      <c r="C18" s="11" t="s">
        <v>0</v>
      </c>
      <c r="D18" s="42"/>
    </row>
    <row r="19" spans="2:4" x14ac:dyDescent="0.25">
      <c r="B19" s="10" t="str">
        <f>DATEN!N11</f>
        <v>VORGANG</v>
      </c>
      <c r="C19" s="11" t="s">
        <v>0</v>
      </c>
      <c r="D19" s="42"/>
    </row>
    <row r="20" spans="2:4" x14ac:dyDescent="0.25">
      <c r="B20" s="10" t="str">
        <f>DATEN!N12</f>
        <v>KUNDE</v>
      </c>
      <c r="C20" s="11" t="s">
        <v>0</v>
      </c>
      <c r="D20" s="42"/>
    </row>
    <row r="21" spans="2:4" x14ac:dyDescent="0.25">
      <c r="B21" s="10" t="str">
        <f>DATEN!N13</f>
        <v>DATUM</v>
      </c>
      <c r="C21" s="11" t="s">
        <v>0</v>
      </c>
      <c r="D21" s="42"/>
    </row>
    <row r="22" spans="2:4" x14ac:dyDescent="0.25">
      <c r="B22" s="10" t="str">
        <f>DATEN!N22</f>
        <v>BAUGRUPPE</v>
      </c>
      <c r="C22" s="11" t="s">
        <v>0</v>
      </c>
      <c r="D22" s="42">
        <v>1615</v>
      </c>
    </row>
    <row r="23" spans="2:4" x14ac:dyDescent="0.25">
      <c r="B23" s="10" t="str">
        <f>DATEN!N14</f>
        <v>NOTIZ I</v>
      </c>
      <c r="C23" s="11" t="s">
        <v>0</v>
      </c>
      <c r="D23" s="42"/>
    </row>
    <row r="24" spans="2:4" x14ac:dyDescent="0.25">
      <c r="B24" s="10" t="str">
        <f>DATEN!N15</f>
        <v>NOTIZ II</v>
      </c>
      <c r="C24" s="11" t="s">
        <v>0</v>
      </c>
      <c r="D24" s="42"/>
    </row>
    <row r="25" spans="2:4" x14ac:dyDescent="0.25">
      <c r="B25" s="15" t="str">
        <f>DATEN!N16</f>
        <v>NOTIZ III</v>
      </c>
      <c r="C25" s="14" t="s">
        <v>0</v>
      </c>
      <c r="D25" s="43"/>
    </row>
    <row r="28" spans="2:4" x14ac:dyDescent="0.25">
      <c r="B28" s="7" t="str">
        <f>DATEN!N30</f>
        <v>PARAMETER</v>
      </c>
    </row>
    <row r="29" spans="2:4" ht="26.4" customHeight="1" x14ac:dyDescent="0.25">
      <c r="B29" s="81">
        <v>1</v>
      </c>
      <c r="C29" s="82" t="s">
        <v>0</v>
      </c>
      <c r="D29" s="104" t="str">
        <f>DATEN!N31</f>
        <v>Technische lichte Breite [CO1]</v>
      </c>
    </row>
    <row r="30" spans="2:4" ht="26.4" customHeight="1" x14ac:dyDescent="0.25">
      <c r="B30" s="83">
        <v>2</v>
      </c>
      <c r="C30" s="84" t="s">
        <v>0</v>
      </c>
      <c r="D30" s="105" t="str">
        <f>DATEN!N32</f>
        <v>Lichte Breite zwischen dekorativen Covern, ggf. identisch 1 [CO2]</v>
      </c>
    </row>
    <row r="31" spans="2:4" ht="26.4" customHeight="1" x14ac:dyDescent="0.25">
      <c r="B31" s="83">
        <v>3</v>
      </c>
      <c r="C31" s="84" t="s">
        <v>0</v>
      </c>
      <c r="D31" s="105" t="str">
        <f>DATEN!N36</f>
        <v>Lichte Breite des Stahl Ausschnittes [CO3]</v>
      </c>
    </row>
    <row r="32" spans="2:4" ht="26.4" customHeight="1" x14ac:dyDescent="0.25">
      <c r="B32" s="83">
        <v>4</v>
      </c>
      <c r="C32" s="84" t="s">
        <v>0</v>
      </c>
      <c r="D32" s="105" t="str">
        <f>DATEN!N37</f>
        <v>Abmessungen Haltewinkel, vertikal, Öffnungsseite</v>
      </c>
    </row>
    <row r="33" spans="2:4" ht="26.4" customHeight="1" x14ac:dyDescent="0.25">
      <c r="B33" s="83">
        <v>5</v>
      </c>
      <c r="C33" s="84" t="s">
        <v>0</v>
      </c>
      <c r="D33" s="105" t="str">
        <f>DATEN!N38</f>
        <v>Position Befestigungswinkel, vertikal, Öffnungsseite</v>
      </c>
    </row>
    <row r="34" spans="2:4" ht="26.4" customHeight="1" x14ac:dyDescent="0.25">
      <c r="B34" s="83">
        <v>6</v>
      </c>
      <c r="C34" s="84" t="s">
        <v>0</v>
      </c>
      <c r="D34" s="105" t="str">
        <f>DATEN!N39</f>
        <v>Abmessungen Haltewinkel, vertikal, Schließseite</v>
      </c>
    </row>
    <row r="35" spans="2:4" ht="26.4" customHeight="1" x14ac:dyDescent="0.25">
      <c r="B35" s="83">
        <v>7</v>
      </c>
      <c r="C35" s="84" t="s">
        <v>0</v>
      </c>
      <c r="D35" s="105" t="str">
        <f>DATEN!N40</f>
        <v>Position Befestigungswinkel, vertikal, Schließseite</v>
      </c>
    </row>
    <row r="36" spans="2:4" ht="26.4" customHeight="1" x14ac:dyDescent="0.25">
      <c r="B36" s="83">
        <v>8</v>
      </c>
      <c r="C36" s="84" t="s">
        <v>0</v>
      </c>
      <c r="D36" s="105" t="str">
        <f>DATEN!N41</f>
        <v>Technische lichte Höhe, Abstand OK deko Schwelle - UK Deckenverkleidung [CH2]</v>
      </c>
    </row>
    <row r="37" spans="2:4" ht="26.4" customHeight="1" x14ac:dyDescent="0.25">
      <c r="B37" s="83">
        <v>9</v>
      </c>
      <c r="C37" s="84" t="s">
        <v>0</v>
      </c>
      <c r="D37" s="105" t="str">
        <f>DATEN!N42</f>
        <v>Lichte Höhe zwischen dekorativer Decke und Oberkante dekorativer Schwelle [CH2]</v>
      </c>
    </row>
    <row r="38" spans="2:4" ht="26.4" customHeight="1" x14ac:dyDescent="0.25">
      <c r="B38" s="83">
        <v>10</v>
      </c>
      <c r="C38" s="84" t="s">
        <v>0</v>
      </c>
      <c r="D38" s="105" t="str">
        <f>DATEN!N43</f>
        <v>Höhe dekorativer Aufbau der Schwelle</v>
      </c>
    </row>
    <row r="39" spans="2:4" ht="26.4" customHeight="1" x14ac:dyDescent="0.25">
      <c r="B39" s="83">
        <v>11</v>
      </c>
      <c r="C39" s="84" t="s">
        <v>0</v>
      </c>
      <c r="D39" s="105" t="str">
        <f>DATEN!N44</f>
        <v>Höhe Unterbau Schwelle</v>
      </c>
    </row>
    <row r="40" spans="2:4" ht="26.4" customHeight="1" x14ac:dyDescent="0.25">
      <c r="B40" s="83">
        <v>12</v>
      </c>
      <c r="C40" s="84" t="s">
        <v>0</v>
      </c>
      <c r="D40" s="105" t="str">
        <f>DATEN!N45</f>
        <v>Höhe Schwelle OK über Deck</v>
      </c>
    </row>
    <row r="41" spans="2:4" ht="26.4" customHeight="1" x14ac:dyDescent="0.25">
      <c r="B41" s="83">
        <v>13</v>
      </c>
      <c r="C41" s="84" t="s">
        <v>0</v>
      </c>
      <c r="D41" s="105" t="str">
        <f>DATEN!N47</f>
        <v>Abmessungen Haltewinkel, horizontal (oben)</v>
      </c>
    </row>
    <row r="42" spans="2:4" ht="26.4" customHeight="1" x14ac:dyDescent="0.25">
      <c r="B42" s="83">
        <v>14</v>
      </c>
      <c r="C42" s="84" t="s">
        <v>0</v>
      </c>
      <c r="D42" s="105" t="str">
        <f>DATEN!N48</f>
        <v>Position Befestigungswinkel, horizontal (oben)</v>
      </c>
    </row>
    <row r="43" spans="2:4" ht="26.4" customHeight="1" x14ac:dyDescent="0.25">
      <c r="B43" s="83">
        <v>15</v>
      </c>
      <c r="C43" s="84" t="s">
        <v>0</v>
      </c>
      <c r="D43" s="105" t="str">
        <f>DATEN!N49</f>
        <v>LichteHöhe des Stahl Ausschnittes [CH3]</v>
      </c>
    </row>
    <row r="44" spans="2:4" ht="26.4" customHeight="1" x14ac:dyDescent="0.25">
      <c r="B44" s="83">
        <v>16</v>
      </c>
      <c r="C44" s="84" t="s">
        <v>0</v>
      </c>
      <c r="D44" s="105" t="str">
        <f>DATEN!N51</f>
        <v>Eckradius des Ausbrandes. 0 entspricht 90° bzw. Rissfänger.</v>
      </c>
    </row>
    <row r="45" spans="2:4" ht="26.4" customHeight="1" x14ac:dyDescent="0.25">
      <c r="B45" s="83">
        <v>17</v>
      </c>
      <c r="C45" s="84" t="s">
        <v>0</v>
      </c>
      <c r="D45" s="105" t="str">
        <f>DATEN!N53</f>
        <v>Türspalt unter dem Türblatt, max. 12mm</v>
      </c>
    </row>
    <row r="46" spans="2:4" ht="26.4" customHeight="1" x14ac:dyDescent="0.25">
      <c r="B46" s="83">
        <v>18</v>
      </c>
      <c r="C46" s="84" t="s">
        <v>0</v>
      </c>
      <c r="D46" s="105" t="str">
        <f>DATEN!N56</f>
        <v>Mittenabstand (c/c) Fixierung, horizontal</v>
      </c>
    </row>
    <row r="47" spans="2:4" ht="26.4" customHeight="1" x14ac:dyDescent="0.25">
      <c r="B47" s="83">
        <v>19</v>
      </c>
      <c r="C47" s="84" t="s">
        <v>0</v>
      </c>
      <c r="D47" s="105" t="str">
        <f>DATEN!N57</f>
        <v>Mittenabstand (c/c) Fixierung, vertikal</v>
      </c>
    </row>
    <row r="48" spans="2:4" ht="26.4" customHeight="1" x14ac:dyDescent="0.25">
      <c r="B48" s="85">
        <v>20</v>
      </c>
      <c r="C48" s="86" t="s">
        <v>0</v>
      </c>
      <c r="D48" s="105" t="str">
        <f>DATEN!N59</f>
        <v>Überstand des Abdeckrahmens</v>
      </c>
    </row>
    <row r="49" spans="2:4" ht="26.4" customHeight="1" x14ac:dyDescent="0.25">
      <c r="B49" s="85">
        <v>21</v>
      </c>
      <c r="C49" s="86" t="s">
        <v>0</v>
      </c>
      <c r="D49" s="106"/>
    </row>
    <row r="50" spans="2:4" ht="26.4" customHeight="1" x14ac:dyDescent="0.25">
      <c r="B50" s="85">
        <v>22</v>
      </c>
      <c r="C50" s="86" t="s">
        <v>0</v>
      </c>
      <c r="D50" s="106"/>
    </row>
    <row r="51" spans="2:4" ht="26.4" customHeight="1" x14ac:dyDescent="0.25">
      <c r="B51" s="85">
        <v>23</v>
      </c>
      <c r="C51" s="86" t="s">
        <v>0</v>
      </c>
      <c r="D51" s="106"/>
    </row>
    <row r="52" spans="2:4" ht="26.4" customHeight="1" x14ac:dyDescent="0.25">
      <c r="B52" s="85">
        <v>24</v>
      </c>
      <c r="C52" s="86" t="s">
        <v>0</v>
      </c>
      <c r="D52" s="106"/>
    </row>
    <row r="53" spans="2:4" ht="26.4" customHeight="1" x14ac:dyDescent="0.25">
      <c r="B53" s="85">
        <v>25</v>
      </c>
      <c r="C53" s="86" t="s">
        <v>0</v>
      </c>
      <c r="D53" s="106"/>
    </row>
    <row r="54" spans="2:4" ht="26.4" customHeight="1" x14ac:dyDescent="0.25">
      <c r="B54" s="85">
        <v>26</v>
      </c>
      <c r="C54" s="86" t="s">
        <v>0</v>
      </c>
      <c r="D54" s="106"/>
    </row>
    <row r="55" spans="2:4" ht="26.4" customHeight="1" x14ac:dyDescent="0.25">
      <c r="B55" s="85">
        <v>27</v>
      </c>
      <c r="C55" s="86" t="s">
        <v>0</v>
      </c>
      <c r="D55" s="106"/>
    </row>
    <row r="56" spans="2:4" ht="26.4" customHeight="1" x14ac:dyDescent="0.25">
      <c r="B56" s="85">
        <v>28</v>
      </c>
      <c r="C56" s="86" t="s">
        <v>0</v>
      </c>
      <c r="D56" s="106"/>
    </row>
    <row r="57" spans="2:4" ht="26.4" customHeight="1" x14ac:dyDescent="0.25">
      <c r="B57" s="85">
        <v>29</v>
      </c>
      <c r="C57" s="86" t="s">
        <v>0</v>
      </c>
      <c r="D57" s="106"/>
    </row>
    <row r="58" spans="2:4" ht="26.4" customHeight="1" x14ac:dyDescent="0.25">
      <c r="B58" s="85">
        <v>30</v>
      </c>
      <c r="C58" s="86" t="s">
        <v>0</v>
      </c>
      <c r="D58" s="106"/>
    </row>
    <row r="59" spans="2:4" ht="26.4" customHeight="1" x14ac:dyDescent="0.25">
      <c r="B59" s="85">
        <v>31</v>
      </c>
      <c r="C59" s="86" t="s">
        <v>0</v>
      </c>
      <c r="D59" s="106"/>
    </row>
    <row r="60" spans="2:4" ht="26.4" customHeight="1" x14ac:dyDescent="0.25">
      <c r="B60" s="85">
        <v>32</v>
      </c>
      <c r="C60" s="86" t="s">
        <v>0</v>
      </c>
      <c r="D60" s="106"/>
    </row>
    <row r="61" spans="2:4" ht="26.4" customHeight="1" x14ac:dyDescent="0.25">
      <c r="B61" s="85">
        <v>33</v>
      </c>
      <c r="C61" s="86" t="s">
        <v>0</v>
      </c>
      <c r="D61" s="106"/>
    </row>
    <row r="62" spans="2:4" ht="26.4" customHeight="1" x14ac:dyDescent="0.25">
      <c r="B62" s="85">
        <v>34</v>
      </c>
      <c r="C62" s="86" t="s">
        <v>0</v>
      </c>
      <c r="D62" s="106"/>
    </row>
    <row r="63" spans="2:4" ht="26.4" customHeight="1" x14ac:dyDescent="0.25">
      <c r="B63" s="85">
        <v>35</v>
      </c>
      <c r="C63" s="86" t="s">
        <v>0</v>
      </c>
      <c r="D63" s="106"/>
    </row>
    <row r="64" spans="2:4" ht="26.4" customHeight="1" x14ac:dyDescent="0.25">
      <c r="B64" s="85">
        <v>36</v>
      </c>
      <c r="C64" s="86" t="s">
        <v>0</v>
      </c>
      <c r="D64" s="106"/>
    </row>
    <row r="65" spans="2:4" ht="26.4" customHeight="1" x14ac:dyDescent="0.25">
      <c r="B65" s="85">
        <v>37</v>
      </c>
      <c r="C65" s="86" t="s">
        <v>0</v>
      </c>
      <c r="D65" s="106"/>
    </row>
    <row r="66" spans="2:4" ht="26.4" customHeight="1" x14ac:dyDescent="0.25">
      <c r="B66" s="85">
        <v>38</v>
      </c>
      <c r="C66" s="86" t="s">
        <v>0</v>
      </c>
      <c r="D66" s="106"/>
    </row>
    <row r="67" spans="2:4" ht="26.4" customHeight="1" x14ac:dyDescent="0.25">
      <c r="B67" s="85">
        <v>39</v>
      </c>
      <c r="C67" s="86" t="s">
        <v>0</v>
      </c>
      <c r="D67" s="106"/>
    </row>
    <row r="68" spans="2:4" ht="26.4" customHeight="1" x14ac:dyDescent="0.25">
      <c r="B68" s="85">
        <v>40</v>
      </c>
      <c r="C68" s="86" t="s">
        <v>0</v>
      </c>
      <c r="D68" s="106"/>
    </row>
    <row r="100" ht="113.25" customHeight="1" x14ac:dyDescent="0.25"/>
    <row r="101" ht="113.25" customHeight="1" x14ac:dyDescent="0.25"/>
    <row r="102" ht="113.25" customHeight="1" x14ac:dyDescent="0.25"/>
    <row r="103" ht="113.25" customHeight="1" x14ac:dyDescent="0.25"/>
    <row r="104" ht="113.25" customHeight="1" x14ac:dyDescent="0.25"/>
    <row r="105" ht="113.25" customHeight="1" x14ac:dyDescent="0.25"/>
  </sheetData>
  <sheetProtection sheet="1" selectLockedCells="1"/>
  <dataValidations count="1">
    <dataValidation type="list" allowBlank="1" showInputMessage="1" showErrorMessage="1" sqref="D9" xr:uid="{9BD4B414-D462-4882-A0B5-60B2F6F1A2FE}">
      <formula1>"DEUTSCH,ENGLISH"</formula1>
    </dataValidation>
  </dataValidation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A3797-0EEB-4B34-9963-F2C0DE792278}">
  <sheetPr>
    <tabColor theme="5" tint="0.39997558519241921"/>
  </sheetPr>
  <dimension ref="B1:AH40"/>
  <sheetViews>
    <sheetView showGridLines="0" showRowColHeaders="0" workbookViewId="0">
      <pane xSplit="5" ySplit="22" topLeftCell="F23" activePane="bottomRight" state="frozen"/>
      <selection activeCell="A2" sqref="A2"/>
      <selection pane="topRight" activeCell="F2" sqref="F2"/>
      <selection pane="bottomLeft" activeCell="A22" sqref="A22"/>
      <selection pane="bottomRight" activeCell="X24" sqref="X24"/>
    </sheetView>
  </sheetViews>
  <sheetFormatPr baseColWidth="10" defaultRowHeight="13.2" x14ac:dyDescent="0.25"/>
  <cols>
    <col min="2" max="2" width="5.33203125" customWidth="1"/>
    <col min="3" max="3" width="6.109375" customWidth="1"/>
    <col min="4" max="4" width="1.5546875" bestFit="1" customWidth="1"/>
    <col min="5" max="5" width="6.109375" customWidth="1"/>
    <col min="6" max="6" width="7.5546875" bestFit="1" customWidth="1"/>
    <col min="7" max="7" width="5.5546875" bestFit="1" customWidth="1"/>
    <col min="8" max="9" width="17.6640625" customWidth="1"/>
    <col min="11" max="11" width="3.33203125" bestFit="1" customWidth="1"/>
    <col min="12" max="13" width="6.6640625" customWidth="1"/>
    <col min="14" max="15" width="5.109375" customWidth="1"/>
    <col min="16" max="18" width="3.6640625" customWidth="1"/>
    <col min="19" max="20" width="6.88671875" customWidth="1"/>
    <col min="21" max="21" width="5.33203125" customWidth="1"/>
    <col min="22" max="22" width="5" bestFit="1" customWidth="1"/>
    <col min="23" max="26" width="5" customWidth="1"/>
    <col min="27" max="28" width="6.33203125" customWidth="1"/>
    <col min="29" max="29" width="4" bestFit="1" customWidth="1"/>
    <col min="30" max="30" width="5.88671875" customWidth="1"/>
    <col min="31" max="31" width="5.21875" customWidth="1"/>
    <col min="32" max="32" width="4.109375" customWidth="1"/>
    <col min="33" max="33" width="11.5546875" customWidth="1"/>
  </cols>
  <sheetData>
    <row r="1" spans="2:34" hidden="1" x14ac:dyDescent="0.25">
      <c r="B1" s="23">
        <f>COLUMN()</f>
        <v>2</v>
      </c>
      <c r="C1" s="23">
        <f>COLUMN()</f>
        <v>3</v>
      </c>
      <c r="D1" s="23">
        <f>COLUMN()</f>
        <v>4</v>
      </c>
      <c r="E1" s="23">
        <f>COLUMN()</f>
        <v>5</v>
      </c>
      <c r="F1" s="23">
        <f>COLUMN()</f>
        <v>6</v>
      </c>
      <c r="G1" s="23">
        <f>COLUMN()</f>
        <v>7</v>
      </c>
      <c r="H1" s="23">
        <f>COLUMN()</f>
        <v>8</v>
      </c>
      <c r="I1" s="23">
        <f>COLUMN()</f>
        <v>9</v>
      </c>
      <c r="J1" s="23">
        <f>COLUMN()</f>
        <v>10</v>
      </c>
      <c r="K1" s="23">
        <f>COLUMN()</f>
        <v>11</v>
      </c>
      <c r="L1" s="23">
        <f>COLUMN()</f>
        <v>12</v>
      </c>
      <c r="M1" s="23">
        <f>COLUMN()</f>
        <v>13</v>
      </c>
      <c r="N1" s="23">
        <f>COLUMN()</f>
        <v>14</v>
      </c>
      <c r="O1" s="23">
        <f>COLUMN()</f>
        <v>15</v>
      </c>
      <c r="P1" s="23">
        <f>COLUMN()</f>
        <v>16</v>
      </c>
      <c r="Q1" s="23">
        <f>COLUMN()</f>
        <v>17</v>
      </c>
      <c r="R1" s="23">
        <f>COLUMN()</f>
        <v>18</v>
      </c>
      <c r="S1" s="23">
        <f>COLUMN()</f>
        <v>19</v>
      </c>
      <c r="T1" s="23">
        <f>COLUMN()</f>
        <v>20</v>
      </c>
      <c r="U1" s="23">
        <f>COLUMN()</f>
        <v>21</v>
      </c>
      <c r="V1" s="23">
        <f>COLUMN()</f>
        <v>22</v>
      </c>
      <c r="W1" s="23">
        <f>COLUMN()</f>
        <v>23</v>
      </c>
      <c r="X1" s="23">
        <f>COLUMN()</f>
        <v>24</v>
      </c>
      <c r="Y1" s="23">
        <f>COLUMN()</f>
        <v>25</v>
      </c>
      <c r="Z1" s="23">
        <f>COLUMN()</f>
        <v>26</v>
      </c>
      <c r="AA1" s="23">
        <f>COLUMN()</f>
        <v>27</v>
      </c>
      <c r="AB1" s="23">
        <f>COLUMN()</f>
        <v>28</v>
      </c>
      <c r="AC1" s="23">
        <f>COLUMN()</f>
        <v>29</v>
      </c>
      <c r="AD1" s="23">
        <f>COLUMN()</f>
        <v>30</v>
      </c>
      <c r="AE1" s="23">
        <f>COLUMN()</f>
        <v>31</v>
      </c>
      <c r="AF1" s="23">
        <f>COLUMN()</f>
        <v>32</v>
      </c>
      <c r="AG1" s="23">
        <f>COLUMN()</f>
        <v>33</v>
      </c>
      <c r="AH1" s="23">
        <f>COLUMN()</f>
        <v>34</v>
      </c>
    </row>
    <row r="4" spans="2:34" x14ac:dyDescent="0.25">
      <c r="B4" s="2" t="str">
        <f ca="1">"LED MATRIX 11IGN.A60 | "&amp;MID(CELL("dateiname",A1),FIND("]",CELL("dateiname",A1))+1,255)</f>
        <v>LED MATRIX 11IGN.A60 | #YYMMDD</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3" t="str">
        <f>VERS</f>
        <v>Vers. 1.4 | 15.06.2026</v>
      </c>
    </row>
    <row r="6" spans="2:34" ht="12.75" customHeight="1" x14ac:dyDescent="0.25">
      <c r="B6" s="30"/>
      <c r="C6" s="31"/>
      <c r="D6" s="31"/>
      <c r="E6" s="24" t="str">
        <f>'#SETTINGS'!B15&amp;":"</f>
        <v>PROJEKT NAME:</v>
      </c>
      <c r="F6" s="132" t="str">
        <f>IF('#SETTINGS'!D15="","",'#SETTINGS'!D15)</f>
        <v/>
      </c>
      <c r="G6" s="132"/>
      <c r="H6" s="133"/>
      <c r="J6" s="108" t="str">
        <f ca="1">_xlfn.XLOOKUP(AktSp,DATEN!R7:R56,DATEN!S7:S56,"",0)</f>
        <v>Anlagen Nr. gem. Kunde</v>
      </c>
      <c r="K6" s="109"/>
      <c r="L6" s="109"/>
      <c r="M6" s="109"/>
      <c r="N6" s="109"/>
      <c r="O6" s="110"/>
      <c r="P6" s="62"/>
      <c r="Q6" s="36">
        <f ca="1">IF(ISNA(INDEX(DATEN!$W$100:$W$134,MATCH(AktSp,DATEN!$V$100:$V$134,0)))=TRUE,99,AktSp)</f>
        <v>5</v>
      </c>
      <c r="R6" s="51"/>
      <c r="S6" s="51"/>
      <c r="T6" s="51"/>
      <c r="U6" s="51"/>
      <c r="V6" s="63"/>
      <c r="W6" s="63"/>
      <c r="X6" s="28"/>
      <c r="Y6" s="35"/>
    </row>
    <row r="7" spans="2:34" x14ac:dyDescent="0.25">
      <c r="B7" s="12"/>
      <c r="C7" s="32"/>
      <c r="D7" s="32"/>
      <c r="E7" s="25" t="str">
        <f>'#SETTINGS'!B16&amp;":"</f>
        <v>LED PROJEKT NR.:</v>
      </c>
      <c r="F7" s="125" t="str">
        <f>IF('#SETTINGS'!D16="","",'#SETTINGS'!D16)</f>
        <v/>
      </c>
      <c r="G7" s="125"/>
      <c r="H7" s="126"/>
      <c r="J7" s="111"/>
      <c r="K7" s="112"/>
      <c r="L7" s="112"/>
      <c r="M7" s="112"/>
      <c r="N7" s="112"/>
      <c r="O7" s="113"/>
      <c r="P7" s="62"/>
      <c r="Q7" s="52"/>
      <c r="R7" s="62"/>
      <c r="S7" s="62"/>
      <c r="T7" s="62"/>
      <c r="U7" s="62"/>
      <c r="V7" s="64"/>
      <c r="W7" s="64"/>
      <c r="Y7" s="5"/>
    </row>
    <row r="8" spans="2:34" x14ac:dyDescent="0.25">
      <c r="B8" s="12"/>
      <c r="C8" s="32"/>
      <c r="D8" s="32"/>
      <c r="E8" s="25" t="str">
        <f>'#SETTINGS'!B17&amp;":"</f>
        <v>REV.:</v>
      </c>
      <c r="F8" s="125" t="str">
        <f>IF('#SETTINGS'!D17="","",'#SETTINGS'!D17)</f>
        <v/>
      </c>
      <c r="G8" s="125"/>
      <c r="H8" s="126"/>
      <c r="J8" s="111"/>
      <c r="K8" s="112"/>
      <c r="L8" s="112"/>
      <c r="M8" s="112"/>
      <c r="N8" s="112"/>
      <c r="O8" s="113"/>
      <c r="P8" s="62"/>
      <c r="Q8" s="52"/>
      <c r="R8" s="62"/>
      <c r="S8" s="62"/>
      <c r="T8" s="62"/>
      <c r="U8" s="62"/>
      <c r="V8" s="64"/>
      <c r="W8" s="64"/>
      <c r="Y8" s="5"/>
    </row>
    <row r="9" spans="2:34" x14ac:dyDescent="0.25">
      <c r="B9" s="12"/>
      <c r="C9" s="32"/>
      <c r="D9" s="32"/>
      <c r="E9" s="25" t="str">
        <f>'#SETTINGS'!B18&amp;":"</f>
        <v>BEARBEITER:</v>
      </c>
      <c r="F9" s="125" t="str">
        <f>IF('#SETTINGS'!D18="","",'#SETTINGS'!D18)</f>
        <v/>
      </c>
      <c r="G9" s="125"/>
      <c r="H9" s="126"/>
      <c r="J9" s="111"/>
      <c r="K9" s="112"/>
      <c r="L9" s="112"/>
      <c r="M9" s="112"/>
      <c r="N9" s="112"/>
      <c r="O9" s="113"/>
      <c r="P9" s="62"/>
      <c r="Q9" s="52"/>
      <c r="R9" s="62"/>
      <c r="S9" s="62"/>
      <c r="T9" s="62"/>
      <c r="U9" s="62"/>
      <c r="V9" s="64"/>
      <c r="W9" s="64"/>
      <c r="Y9" s="5"/>
    </row>
    <row r="10" spans="2:34" x14ac:dyDescent="0.25">
      <c r="B10" s="12"/>
      <c r="C10" s="32"/>
      <c r="D10" s="32"/>
      <c r="E10" s="25" t="str">
        <f>'#SETTINGS'!B19&amp;":"</f>
        <v>VORGANG:</v>
      </c>
      <c r="F10" s="125" t="str">
        <f>IF('#SETTINGS'!D19="","",'#SETTINGS'!D19)</f>
        <v/>
      </c>
      <c r="G10" s="125"/>
      <c r="H10" s="126"/>
      <c r="J10" s="111"/>
      <c r="K10" s="112"/>
      <c r="L10" s="112"/>
      <c r="M10" s="112"/>
      <c r="N10" s="112"/>
      <c r="O10" s="113"/>
      <c r="P10" s="62"/>
      <c r="Q10" s="52"/>
      <c r="R10" s="62"/>
      <c r="S10" s="62"/>
      <c r="T10" s="62"/>
      <c r="U10" s="62"/>
      <c r="Y10" s="5"/>
    </row>
    <row r="11" spans="2:34" x14ac:dyDescent="0.25">
      <c r="B11" s="12"/>
      <c r="C11" s="32"/>
      <c r="D11" s="32"/>
      <c r="E11" s="25" t="str">
        <f>'#SETTINGS'!B20&amp;":"</f>
        <v>KUNDE:</v>
      </c>
      <c r="F11" s="125" t="str">
        <f>IF('#SETTINGS'!D20="","",'#SETTINGS'!D20)</f>
        <v/>
      </c>
      <c r="G11" s="125"/>
      <c r="H11" s="126"/>
      <c r="J11" s="111"/>
      <c r="K11" s="112"/>
      <c r="L11" s="112"/>
      <c r="M11" s="112"/>
      <c r="N11" s="112"/>
      <c r="O11" s="113"/>
      <c r="P11" s="62"/>
      <c r="Q11" s="52"/>
      <c r="R11" s="62"/>
      <c r="S11" s="62"/>
      <c r="T11" s="62"/>
      <c r="U11" s="62"/>
      <c r="V11" s="64"/>
      <c r="W11" s="64"/>
      <c r="Y11" s="5"/>
    </row>
    <row r="12" spans="2:34" x14ac:dyDescent="0.25">
      <c r="B12" s="12"/>
      <c r="C12" s="32"/>
      <c r="D12" s="32"/>
      <c r="E12" s="25" t="str">
        <f>'#SETTINGS'!B21&amp;":"</f>
        <v>DATUM:</v>
      </c>
      <c r="F12" s="125" t="str">
        <f>IF('#SETTINGS'!D21="","",'#SETTINGS'!D21)</f>
        <v/>
      </c>
      <c r="G12" s="125"/>
      <c r="H12" s="126"/>
      <c r="J12" s="111"/>
      <c r="K12" s="112"/>
      <c r="L12" s="112"/>
      <c r="M12" s="112"/>
      <c r="N12" s="112"/>
      <c r="O12" s="113"/>
      <c r="P12" s="62"/>
      <c r="Q12" s="52"/>
      <c r="R12" s="62"/>
      <c r="S12" s="62"/>
      <c r="T12" s="62"/>
      <c r="U12" s="62"/>
      <c r="V12" s="64"/>
      <c r="W12" s="64"/>
      <c r="Y12" s="5"/>
    </row>
    <row r="13" spans="2:34" x14ac:dyDescent="0.25">
      <c r="B13" s="12"/>
      <c r="C13" s="32"/>
      <c r="D13" s="32"/>
      <c r="E13" s="25" t="str">
        <f>'#SETTINGS'!B22&amp;":"</f>
        <v>BAUGRUPPE:</v>
      </c>
      <c r="F13" s="125">
        <f>IF('#SETTINGS'!D22="","",'#SETTINGS'!D22)</f>
        <v>1615</v>
      </c>
      <c r="G13" s="125"/>
      <c r="H13" s="126"/>
      <c r="J13" s="111"/>
      <c r="K13" s="112"/>
      <c r="L13" s="112"/>
      <c r="M13" s="112"/>
      <c r="N13" s="112"/>
      <c r="O13" s="113"/>
      <c r="P13" s="62"/>
      <c r="Q13" s="52"/>
      <c r="R13" s="62"/>
      <c r="S13" s="62"/>
      <c r="T13" s="62"/>
      <c r="U13" s="62"/>
      <c r="V13" s="64"/>
      <c r="W13" s="64"/>
      <c r="Y13" s="5"/>
    </row>
    <row r="14" spans="2:34" x14ac:dyDescent="0.25">
      <c r="B14" s="12"/>
      <c r="C14" s="32"/>
      <c r="D14" s="32"/>
      <c r="E14" s="25" t="str">
        <f>'#SETTINGS'!B23&amp;":"</f>
        <v>NOTIZ I:</v>
      </c>
      <c r="F14" s="125" t="str">
        <f>IF('#SETTINGS'!D23="","",'#SETTINGS'!D23)</f>
        <v/>
      </c>
      <c r="G14" s="125"/>
      <c r="H14" s="126"/>
      <c r="J14" s="111"/>
      <c r="K14" s="112"/>
      <c r="L14" s="112"/>
      <c r="M14" s="112"/>
      <c r="N14" s="112"/>
      <c r="O14" s="113"/>
      <c r="P14" s="62"/>
      <c r="Q14" s="52"/>
      <c r="R14" s="62"/>
      <c r="S14" s="62"/>
      <c r="T14" s="62"/>
      <c r="U14" s="62"/>
      <c r="V14" s="64"/>
      <c r="W14" s="64"/>
      <c r="Y14" s="5"/>
    </row>
    <row r="15" spans="2:34" x14ac:dyDescent="0.25">
      <c r="B15" s="12"/>
      <c r="C15" s="32"/>
      <c r="D15" s="32"/>
      <c r="E15" s="25" t="str">
        <f>'#SETTINGS'!B24&amp;":"</f>
        <v>NOTIZ II:</v>
      </c>
      <c r="F15" s="125" t="str">
        <f>IF('#SETTINGS'!D24="","",'#SETTINGS'!D24)</f>
        <v/>
      </c>
      <c r="G15" s="125"/>
      <c r="H15" s="126"/>
      <c r="J15" s="111"/>
      <c r="K15" s="112"/>
      <c r="L15" s="112"/>
      <c r="M15" s="112"/>
      <c r="N15" s="112"/>
      <c r="O15" s="113"/>
      <c r="P15" s="62"/>
      <c r="Q15" s="52"/>
      <c r="R15" s="62"/>
      <c r="S15" s="62"/>
      <c r="T15" s="62"/>
      <c r="U15" s="62"/>
      <c r="V15" s="64"/>
      <c r="W15" s="64"/>
      <c r="Y15" s="5"/>
    </row>
    <row r="16" spans="2:34" x14ac:dyDescent="0.25">
      <c r="B16" s="13"/>
      <c r="C16" s="33"/>
      <c r="D16" s="33"/>
      <c r="E16" s="26" t="str">
        <f>'#SETTINGS'!B25&amp;":"</f>
        <v>NOTIZ III:</v>
      </c>
      <c r="F16" s="127" t="str">
        <f>IF('#SETTINGS'!D25="","",'#SETTINGS'!D25)</f>
        <v/>
      </c>
      <c r="G16" s="127"/>
      <c r="H16" s="128"/>
      <c r="J16" s="114"/>
      <c r="K16" s="115"/>
      <c r="L16" s="115"/>
      <c r="M16" s="115"/>
      <c r="N16" s="115"/>
      <c r="O16" s="116"/>
      <c r="P16" s="62"/>
      <c r="Q16" s="53"/>
      <c r="R16" s="54"/>
      <c r="S16" s="54"/>
      <c r="T16" s="54"/>
      <c r="U16" s="54"/>
      <c r="V16" s="65"/>
      <c r="W16" s="65"/>
      <c r="X16" s="29"/>
      <c r="Y16" s="6"/>
    </row>
    <row r="18" spans="2:34" x14ac:dyDescent="0.25">
      <c r="B18" s="59"/>
      <c r="C18" s="60"/>
      <c r="D18" s="60"/>
      <c r="E18" s="60"/>
      <c r="F18" s="60"/>
      <c r="G18" s="60"/>
      <c r="H18" s="60"/>
      <c r="I18" s="60"/>
      <c r="J18" s="60"/>
      <c r="K18" s="61" t="s">
        <v>89</v>
      </c>
      <c r="L18" s="87">
        <v>1</v>
      </c>
      <c r="M18" s="87">
        <v>8</v>
      </c>
      <c r="N18" s="87">
        <v>11</v>
      </c>
      <c r="O18" s="87">
        <v>10</v>
      </c>
      <c r="P18" s="88"/>
      <c r="Q18" s="89"/>
      <c r="R18" s="90"/>
      <c r="S18" s="87">
        <v>2</v>
      </c>
      <c r="T18" s="87">
        <v>9</v>
      </c>
      <c r="U18" s="87"/>
      <c r="V18" s="87">
        <v>12</v>
      </c>
      <c r="W18" s="87"/>
      <c r="X18" s="87">
        <v>16</v>
      </c>
      <c r="Y18" s="87">
        <v>20</v>
      </c>
      <c r="Z18" s="87">
        <v>17</v>
      </c>
      <c r="AA18" s="87">
        <v>3</v>
      </c>
      <c r="AB18" s="87">
        <v>15</v>
      </c>
      <c r="AC18" s="88"/>
      <c r="AD18" s="89"/>
      <c r="AE18" s="90"/>
      <c r="AF18" s="87"/>
      <c r="AG18" s="87"/>
      <c r="AH18" s="87"/>
    </row>
    <row r="19" spans="2:34" ht="60" customHeight="1" x14ac:dyDescent="0.25">
      <c r="B19" s="19"/>
      <c r="C19" s="94"/>
      <c r="D19" s="95"/>
      <c r="E19" s="96"/>
      <c r="F19" s="94"/>
      <c r="G19" s="95"/>
      <c r="H19" s="95"/>
      <c r="I19" s="95"/>
      <c r="J19" s="96"/>
      <c r="K19" s="129" t="str">
        <f>DATEN!N25</f>
        <v>KLASSE A…</v>
      </c>
      <c r="L19" s="123" t="str">
        <f>DATEN!N18</f>
        <v>TECHNISCHE DURCHGANGSGRÖSSE</v>
      </c>
      <c r="M19" s="124"/>
      <c r="N19" s="147" t="str">
        <f>DATEN!N24</f>
        <v>AUFBAU DEKO SCHWELLE</v>
      </c>
      <c r="O19" s="148"/>
      <c r="P19" s="141" t="str">
        <f>DATEN!N33</f>
        <v>STÄRKE COVER</v>
      </c>
      <c r="Q19" s="142"/>
      <c r="R19" s="143"/>
      <c r="S19" s="123" t="str">
        <f>DATEN!N34</f>
        <v>TATSÄCHLICHE LICHTE ÖFFNUNG</v>
      </c>
      <c r="T19" s="124"/>
      <c r="U19" s="117" t="str">
        <f>DATEN!N28</f>
        <v>SÜLL TYP</v>
      </c>
      <c r="V19" s="117" t="str">
        <f>DATEN!N46</f>
        <v>HÖHE SCHWELLE</v>
      </c>
      <c r="W19" s="117" t="str">
        <f>DATEN!N58</f>
        <v>TYP AUSBRAND</v>
      </c>
      <c r="X19" s="117" t="str">
        <f>DATEN!N50</f>
        <v>AUSBRAND RADIUS</v>
      </c>
      <c r="Y19" s="117" t="str">
        <f>DATEN!N60</f>
        <v>ÜBERSTAND ABDECKRAHMEN</v>
      </c>
      <c r="Z19" s="117" t="str">
        <f>DATEN!N52</f>
        <v>TÜRSPALT</v>
      </c>
      <c r="AA19" s="137" t="str">
        <f>DATEN!N23</f>
        <v>SCHOTT AUSBRAND</v>
      </c>
      <c r="AB19" s="124"/>
      <c r="AC19" s="19"/>
      <c r="AD19" s="134" t="str">
        <f>DATEN!N54</f>
        <v>EINBAULAGE</v>
      </c>
      <c r="AE19" s="134" t="str">
        <f>DATEN!N55</f>
        <v>SCHLAUCH KLAPPE</v>
      </c>
      <c r="AF19" s="55"/>
      <c r="AG19" s="19"/>
      <c r="AH19" s="19"/>
    </row>
    <row r="20" spans="2:34" ht="15.6" customHeight="1" x14ac:dyDescent="0.25">
      <c r="B20" s="78"/>
      <c r="C20" s="138" t="str">
        <f>CONCATENATE(DATEN!N35," ",DATEN!N21)</f>
        <v>TÜR BENENNUNG</v>
      </c>
      <c r="D20" s="139"/>
      <c r="E20" s="139"/>
      <c r="F20" s="139"/>
      <c r="G20" s="139"/>
      <c r="H20" s="139"/>
      <c r="I20" s="139"/>
      <c r="J20" s="140"/>
      <c r="K20" s="130"/>
      <c r="L20" s="20" t="s">
        <v>45</v>
      </c>
      <c r="M20" s="20" t="s">
        <v>44</v>
      </c>
      <c r="N20" s="149"/>
      <c r="O20" s="150"/>
      <c r="P20" s="66" t="s">
        <v>99</v>
      </c>
      <c r="Q20" s="66" t="s">
        <v>100</v>
      </c>
      <c r="R20" s="66" t="s">
        <v>28</v>
      </c>
      <c r="S20" s="20" t="s">
        <v>46</v>
      </c>
      <c r="T20" s="20" t="s">
        <v>47</v>
      </c>
      <c r="U20" s="118"/>
      <c r="V20" s="118"/>
      <c r="W20" s="118"/>
      <c r="X20" s="118"/>
      <c r="Y20" s="118"/>
      <c r="Z20" s="118"/>
      <c r="AA20" s="20" t="s">
        <v>101</v>
      </c>
      <c r="AB20" s="20" t="s">
        <v>102</v>
      </c>
      <c r="AC20" s="78" t="s">
        <v>59</v>
      </c>
      <c r="AD20" s="135"/>
      <c r="AE20" s="135"/>
      <c r="AF20" s="56"/>
      <c r="AG20" s="20"/>
      <c r="AH20" s="20" t="s">
        <v>84</v>
      </c>
    </row>
    <row r="21" spans="2:34" x14ac:dyDescent="0.25">
      <c r="B21" s="79" t="str">
        <f>DATEN!N17</f>
        <v>NR.</v>
      </c>
      <c r="C21" s="120" t="str">
        <f>B21</f>
        <v>NR.</v>
      </c>
      <c r="D21" s="121"/>
      <c r="E21" s="122"/>
      <c r="F21" s="79" t="str">
        <f>DATEN!N19</f>
        <v>SPANT</v>
      </c>
      <c r="G21" s="79" t="s">
        <v>53</v>
      </c>
      <c r="H21" s="79" t="str">
        <f>DATEN!N20&amp;" I"</f>
        <v>RAUM I</v>
      </c>
      <c r="I21" s="79" t="str">
        <f>DATEN!N20&amp;" II"</f>
        <v>RAUM II</v>
      </c>
      <c r="J21" s="80" t="s">
        <v>42</v>
      </c>
      <c r="K21" s="131"/>
      <c r="L21" s="58" t="s">
        <v>43</v>
      </c>
      <c r="M21" s="27" t="s">
        <v>43</v>
      </c>
      <c r="N21" s="27" t="s">
        <v>43</v>
      </c>
      <c r="O21" s="27" t="s">
        <v>43</v>
      </c>
      <c r="P21" s="144" t="s">
        <v>43</v>
      </c>
      <c r="Q21" s="145"/>
      <c r="R21" s="146"/>
      <c r="S21" s="58" t="s">
        <v>43</v>
      </c>
      <c r="T21" s="27" t="s">
        <v>43</v>
      </c>
      <c r="U21" s="119"/>
      <c r="V21" s="27" t="s">
        <v>43</v>
      </c>
      <c r="W21" s="119"/>
      <c r="X21" s="27" t="s">
        <v>43</v>
      </c>
      <c r="Y21" s="119"/>
      <c r="Z21" s="27" t="s">
        <v>43</v>
      </c>
      <c r="AA21" s="27" t="s">
        <v>43</v>
      </c>
      <c r="AB21" s="27" t="s">
        <v>43</v>
      </c>
      <c r="AC21" s="79" t="s">
        <v>60</v>
      </c>
      <c r="AD21" s="136"/>
      <c r="AE21" s="27" t="s">
        <v>210</v>
      </c>
      <c r="AF21" s="57"/>
      <c r="AG21" s="21"/>
      <c r="AH21" s="21"/>
    </row>
    <row r="22" spans="2:34" x14ac:dyDescent="0.25">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row>
    <row r="23" spans="2:34" ht="16.2" customHeight="1" x14ac:dyDescent="0.25">
      <c r="B23" s="67">
        <f>ROW()-23</f>
        <v>0</v>
      </c>
      <c r="C23" s="97">
        <v>1615</v>
      </c>
      <c r="D23" s="98" t="str">
        <f>IF(C23&lt;&gt;"",".","")</f>
        <v>.</v>
      </c>
      <c r="E23" s="99">
        <v>3001</v>
      </c>
      <c r="F23" s="100">
        <v>153</v>
      </c>
      <c r="G23" s="100" t="s">
        <v>52</v>
      </c>
      <c r="H23" s="101" t="s">
        <v>54</v>
      </c>
      <c r="I23" s="101" t="s">
        <v>55</v>
      </c>
      <c r="J23" s="102" t="s">
        <v>56</v>
      </c>
      <c r="K23" s="100">
        <v>0</v>
      </c>
      <c r="L23" s="103">
        <v>1249</v>
      </c>
      <c r="M23" s="103">
        <v>2418</v>
      </c>
      <c r="N23" s="103">
        <v>20</v>
      </c>
      <c r="O23" s="103">
        <v>7</v>
      </c>
      <c r="P23" s="103">
        <v>20</v>
      </c>
      <c r="Q23" s="103">
        <v>15</v>
      </c>
      <c r="R23" s="103">
        <v>10</v>
      </c>
      <c r="S23" s="103">
        <f>IF(L23&lt;&gt;"",L23-P23-Q23,"")</f>
        <v>1214</v>
      </c>
      <c r="T23" s="103">
        <f>IF(M23&lt;&gt;"",M23-R23,"")</f>
        <v>2408</v>
      </c>
      <c r="U23" s="103" t="s">
        <v>200</v>
      </c>
      <c r="V23" s="103">
        <v>85</v>
      </c>
      <c r="W23" s="103" t="s">
        <v>230</v>
      </c>
      <c r="X23" s="103">
        <v>80</v>
      </c>
      <c r="Y23" s="103" t="str">
        <f>IF(AND(W23="[V]",X23&gt;90),ROUND(X23-(X23-56)/SQRT(2),0)-31,"")</f>
        <v/>
      </c>
      <c r="Z23" s="103">
        <v>5</v>
      </c>
      <c r="AA23" s="103">
        <f t="shared" ref="AA23" si="0">IF(AND(N23&lt;&gt;"",L23&lt;&gt;""),L23+IF(AND(W23="[V]",X23&lt;=90),63,IF(AND(W23="[V]",X23&gt;90),(31+Y23)*2,63)),"")</f>
        <v>1312</v>
      </c>
      <c r="AB23" s="103">
        <f t="shared" ref="AB23" si="1">IF(M23&lt;&gt;"",M23+IF(AND(W23="[V]",X23&lt;=90),31,IF(AND(W23="[V]",X23&gt;90),(31+Y23),31))+IF(AND(Y23&lt;&gt;"",W23="[V]"),IF(U23="[A]",Y23-10+N23+O23,IF(U23="[B]",Y23-10+N23+O23,IF(U23="[C]",V23+N23+O23-8,0))),IF(U23="[A]",10+N23+O23,IF(U23="[B]",10+N23+O23,IF(U23="[C]",V23+N23+O23-8,0)))),"")</f>
        <v>2486</v>
      </c>
      <c r="AC23" s="100" t="s">
        <v>63</v>
      </c>
      <c r="AD23" s="100" t="s">
        <v>214</v>
      </c>
      <c r="AE23" s="100" t="s">
        <v>213</v>
      </c>
      <c r="AF23" s="100"/>
      <c r="AG23" s="102"/>
      <c r="AH23" s="102" t="s">
        <v>85</v>
      </c>
    </row>
    <row r="24" spans="2:34" ht="16.2" customHeight="1" x14ac:dyDescent="0.25">
      <c r="B24" s="22">
        <f t="shared" ref="B24:B32" si="2">ROW()-23</f>
        <v>1</v>
      </c>
      <c r="C24" s="68"/>
      <c r="D24" s="69"/>
      <c r="E24" s="70"/>
      <c r="F24" s="71"/>
      <c r="G24" s="71"/>
      <c r="H24" s="72"/>
      <c r="I24" s="72"/>
      <c r="J24" s="73"/>
      <c r="K24" s="71"/>
      <c r="L24" s="74"/>
      <c r="M24" s="74"/>
      <c r="N24" s="74"/>
      <c r="O24" s="74"/>
      <c r="P24" s="74"/>
      <c r="Q24" s="74"/>
      <c r="R24" s="74"/>
      <c r="S24" s="75" t="str">
        <f t="shared" ref="S24:S32" si="3">IF(L24&lt;&gt;"",L24-P24-Q24,"")</f>
        <v/>
      </c>
      <c r="T24" s="75" t="str">
        <f t="shared" ref="T24:T32" si="4">IF(M24&lt;&gt;"",M24-R24,"")</f>
        <v/>
      </c>
      <c r="U24" s="74"/>
      <c r="V24" s="107"/>
      <c r="W24" s="74"/>
      <c r="X24" s="74"/>
      <c r="Y24" s="75" t="str">
        <f t="shared" ref="Y24:Y32" si="5">IF(AND(W24="[V]",X24&gt;90),ROUND(X24-(X24-56)/SQRT(2),0)-31,"")</f>
        <v/>
      </c>
      <c r="Z24" s="74"/>
      <c r="AA24" s="75" t="str">
        <f>IF(AND(N24&lt;&gt;"",L24&lt;&gt;""),L24+IF(AND(W24="[V]",X24&lt;=90),63,IF(AND(W24="[V]",X24&gt;90),(31+Y24)*2,63)),"")</f>
        <v/>
      </c>
      <c r="AB24" s="76" t="str">
        <f>IF(M24&lt;&gt;"",M24+IF(AND(W24="[V]",X24&lt;=90),31,IF(AND(W24="[V]",X24&gt;90),(31+Y24),31))+IF(AND(Y24&lt;&gt;"",W24="[V]"),IF(U24="[A]",Y24-10+N24+O24,IF(U24="[B]",Y24-10+N24+O24,IF(U24="[C]",V24+N24+O24-8,0))),IF(U24="[A]",10+N24+O24,IF(U24="[B]",10+N24+O24,IF(U24="[C]",V24+N24+O24-8,0)))),"")</f>
        <v/>
      </c>
      <c r="AC24" s="71"/>
      <c r="AD24" s="71"/>
      <c r="AE24" s="71"/>
      <c r="AF24" s="45"/>
      <c r="AG24" s="47"/>
      <c r="AH24" s="46"/>
    </row>
    <row r="25" spans="2:34" ht="16.2" customHeight="1" x14ac:dyDescent="0.25">
      <c r="B25" s="22">
        <f t="shared" si="2"/>
        <v>2</v>
      </c>
      <c r="C25" s="68"/>
      <c r="D25" s="69" t="str">
        <f t="shared" ref="D25" si="6">IF(C25&lt;&gt;"",".","")</f>
        <v/>
      </c>
      <c r="E25" s="70"/>
      <c r="F25" s="71"/>
      <c r="G25" s="71"/>
      <c r="H25" s="72"/>
      <c r="I25" s="72"/>
      <c r="J25" s="73"/>
      <c r="K25" s="71"/>
      <c r="L25" s="74"/>
      <c r="M25" s="74"/>
      <c r="N25" s="74"/>
      <c r="O25" s="74"/>
      <c r="P25" s="74"/>
      <c r="Q25" s="74"/>
      <c r="R25" s="74"/>
      <c r="S25" s="75" t="str">
        <f t="shared" si="3"/>
        <v/>
      </c>
      <c r="T25" s="75" t="str">
        <f t="shared" si="4"/>
        <v/>
      </c>
      <c r="U25" s="74"/>
      <c r="V25" s="107"/>
      <c r="W25" s="74"/>
      <c r="X25" s="74"/>
      <c r="Y25" s="75" t="str">
        <f t="shared" si="5"/>
        <v/>
      </c>
      <c r="Z25" s="74"/>
      <c r="AA25" s="75" t="str">
        <f t="shared" ref="AA25:AA32" si="7">IF(AND(N25&lt;&gt;"",L25&lt;&gt;""),L25+IF(AND(W25="[V]",X25&lt;=90),63,IF(AND(W25="[V]",X25&gt;90),(31+Y25)*2,63)),"")</f>
        <v/>
      </c>
      <c r="AB25" s="76" t="str">
        <f t="shared" ref="AB25:AB32" si="8">IF(M25&lt;&gt;"",M25+IF(AND(W25="[V]",X25&lt;=90),31,IF(AND(W25="[V]",X25&gt;90),(31+Y25),31))+IF(AND(Y25&lt;&gt;"",W25="[V]"),IF(U25="[A]",Y25-10+N25+O25,IF(U25="[B]",Y25-10+N25+O25,IF(U25="[C]",V25+N25+O25-8,0))),IF(U25="[A]",10+N25+O25,IF(U25="[B]",10+N25+O25,IF(U25="[C]",V25+N25+O25-8,0)))),"")</f>
        <v/>
      </c>
      <c r="AC25" s="71"/>
      <c r="AD25" s="71"/>
      <c r="AE25" s="71"/>
      <c r="AF25" s="45"/>
      <c r="AG25" s="47"/>
      <c r="AH25" s="46"/>
    </row>
    <row r="26" spans="2:34" ht="16.2" customHeight="1" x14ac:dyDescent="0.25">
      <c r="B26" s="22">
        <f t="shared" si="2"/>
        <v>3</v>
      </c>
      <c r="C26" s="68"/>
      <c r="D26" s="69"/>
      <c r="E26" s="70"/>
      <c r="F26" s="71"/>
      <c r="G26" s="71"/>
      <c r="H26" s="72"/>
      <c r="I26" s="72"/>
      <c r="J26" s="73"/>
      <c r="K26" s="71"/>
      <c r="L26" s="74"/>
      <c r="M26" s="74"/>
      <c r="N26" s="74"/>
      <c r="O26" s="74"/>
      <c r="P26" s="74"/>
      <c r="Q26" s="74"/>
      <c r="R26" s="74"/>
      <c r="S26" s="75" t="str">
        <f t="shared" si="3"/>
        <v/>
      </c>
      <c r="T26" s="75" t="str">
        <f t="shared" si="4"/>
        <v/>
      </c>
      <c r="U26" s="74"/>
      <c r="V26" s="107"/>
      <c r="W26" s="74"/>
      <c r="X26" s="74"/>
      <c r="Y26" s="75" t="str">
        <f t="shared" si="5"/>
        <v/>
      </c>
      <c r="Z26" s="74"/>
      <c r="AA26" s="75" t="str">
        <f t="shared" si="7"/>
        <v/>
      </c>
      <c r="AB26" s="75" t="str">
        <f t="shared" si="8"/>
        <v/>
      </c>
      <c r="AC26" s="71"/>
      <c r="AD26" s="71"/>
      <c r="AE26" s="71"/>
      <c r="AF26" s="45"/>
      <c r="AG26" s="47"/>
      <c r="AH26" s="46"/>
    </row>
    <row r="27" spans="2:34" ht="16.2" customHeight="1" x14ac:dyDescent="0.25">
      <c r="B27" s="22">
        <f t="shared" si="2"/>
        <v>4</v>
      </c>
      <c r="C27" s="68"/>
      <c r="D27" s="69"/>
      <c r="E27" s="70"/>
      <c r="F27" s="71"/>
      <c r="G27" s="71"/>
      <c r="H27" s="72"/>
      <c r="I27" s="72"/>
      <c r="J27" s="73"/>
      <c r="K27" s="71"/>
      <c r="L27" s="74"/>
      <c r="M27" s="74"/>
      <c r="N27" s="74"/>
      <c r="O27" s="74"/>
      <c r="P27" s="74"/>
      <c r="Q27" s="74"/>
      <c r="R27" s="74"/>
      <c r="S27" s="75" t="str">
        <f t="shared" si="3"/>
        <v/>
      </c>
      <c r="T27" s="75" t="str">
        <f t="shared" si="4"/>
        <v/>
      </c>
      <c r="U27" s="74"/>
      <c r="V27" s="107"/>
      <c r="W27" s="74"/>
      <c r="X27" s="74"/>
      <c r="Y27" s="75" t="str">
        <f t="shared" si="5"/>
        <v/>
      </c>
      <c r="Z27" s="74"/>
      <c r="AA27" s="75" t="str">
        <f t="shared" si="7"/>
        <v/>
      </c>
      <c r="AB27" s="76" t="str">
        <f t="shared" si="8"/>
        <v/>
      </c>
      <c r="AC27" s="71"/>
      <c r="AD27" s="71"/>
      <c r="AE27" s="71"/>
      <c r="AF27" s="45"/>
      <c r="AG27" s="47"/>
      <c r="AH27" s="46"/>
    </row>
    <row r="28" spans="2:34" ht="16.2" customHeight="1" x14ac:dyDescent="0.25">
      <c r="B28" s="22">
        <f t="shared" si="2"/>
        <v>5</v>
      </c>
      <c r="C28" s="68"/>
      <c r="D28" s="69"/>
      <c r="E28" s="70"/>
      <c r="F28" s="71"/>
      <c r="G28" s="71"/>
      <c r="H28" s="72"/>
      <c r="I28" s="72"/>
      <c r="J28" s="73"/>
      <c r="K28" s="71"/>
      <c r="L28" s="74"/>
      <c r="M28" s="74"/>
      <c r="N28" s="74"/>
      <c r="O28" s="74"/>
      <c r="P28" s="74"/>
      <c r="Q28" s="74"/>
      <c r="R28" s="74"/>
      <c r="S28" s="75" t="str">
        <f t="shared" si="3"/>
        <v/>
      </c>
      <c r="T28" s="75" t="str">
        <f t="shared" si="4"/>
        <v/>
      </c>
      <c r="U28" s="74"/>
      <c r="V28" s="107"/>
      <c r="W28" s="74"/>
      <c r="X28" s="74"/>
      <c r="Y28" s="75" t="str">
        <f t="shared" si="5"/>
        <v/>
      </c>
      <c r="Z28" s="74"/>
      <c r="AA28" s="75" t="str">
        <f t="shared" si="7"/>
        <v/>
      </c>
      <c r="AB28" s="76" t="str">
        <f t="shared" si="8"/>
        <v/>
      </c>
      <c r="AC28" s="71"/>
      <c r="AD28" s="71"/>
      <c r="AE28" s="71"/>
      <c r="AF28" s="45"/>
      <c r="AG28" s="47"/>
      <c r="AH28" s="46"/>
    </row>
    <row r="29" spans="2:34" ht="16.2" customHeight="1" x14ac:dyDescent="0.25">
      <c r="B29" s="22">
        <f t="shared" si="2"/>
        <v>6</v>
      </c>
      <c r="C29" s="68"/>
      <c r="D29" s="69"/>
      <c r="E29" s="70"/>
      <c r="F29" s="71"/>
      <c r="G29" s="71"/>
      <c r="H29" s="72"/>
      <c r="I29" s="72"/>
      <c r="J29" s="73"/>
      <c r="K29" s="71"/>
      <c r="L29" s="74"/>
      <c r="M29" s="74"/>
      <c r="N29" s="74"/>
      <c r="O29" s="74"/>
      <c r="P29" s="74"/>
      <c r="Q29" s="74"/>
      <c r="R29" s="74"/>
      <c r="S29" s="75" t="str">
        <f t="shared" si="3"/>
        <v/>
      </c>
      <c r="T29" s="75" t="str">
        <f t="shared" si="4"/>
        <v/>
      </c>
      <c r="U29" s="74"/>
      <c r="V29" s="107"/>
      <c r="W29" s="74"/>
      <c r="X29" s="74"/>
      <c r="Y29" s="75" t="str">
        <f t="shared" si="5"/>
        <v/>
      </c>
      <c r="Z29" s="74"/>
      <c r="AA29" s="75" t="str">
        <f t="shared" si="7"/>
        <v/>
      </c>
      <c r="AB29" s="75" t="str">
        <f t="shared" si="8"/>
        <v/>
      </c>
      <c r="AC29" s="71"/>
      <c r="AD29" s="71"/>
      <c r="AE29" s="71"/>
      <c r="AF29" s="45"/>
      <c r="AG29" s="47"/>
      <c r="AH29" s="46"/>
    </row>
    <row r="30" spans="2:34" ht="16.2" customHeight="1" x14ac:dyDescent="0.25">
      <c r="B30" s="22">
        <f t="shared" si="2"/>
        <v>7</v>
      </c>
      <c r="C30" s="68"/>
      <c r="D30" s="69"/>
      <c r="E30" s="70"/>
      <c r="F30" s="71"/>
      <c r="G30" s="71"/>
      <c r="H30" s="72"/>
      <c r="I30" s="72"/>
      <c r="J30" s="73"/>
      <c r="K30" s="71"/>
      <c r="L30" s="74"/>
      <c r="M30" s="74"/>
      <c r="N30" s="74"/>
      <c r="O30" s="74"/>
      <c r="P30" s="74"/>
      <c r="Q30" s="74"/>
      <c r="R30" s="74"/>
      <c r="S30" s="75" t="str">
        <f t="shared" si="3"/>
        <v/>
      </c>
      <c r="T30" s="75" t="str">
        <f t="shared" si="4"/>
        <v/>
      </c>
      <c r="U30" s="74"/>
      <c r="V30" s="107"/>
      <c r="W30" s="74"/>
      <c r="X30" s="74"/>
      <c r="Y30" s="75" t="str">
        <f t="shared" si="5"/>
        <v/>
      </c>
      <c r="Z30" s="74"/>
      <c r="AA30" s="75" t="str">
        <f t="shared" si="7"/>
        <v/>
      </c>
      <c r="AB30" s="76" t="str">
        <f t="shared" si="8"/>
        <v/>
      </c>
      <c r="AC30" s="71"/>
      <c r="AD30" s="71"/>
      <c r="AE30" s="71"/>
      <c r="AF30" s="45"/>
      <c r="AG30" s="47"/>
      <c r="AH30" s="46"/>
    </row>
    <row r="31" spans="2:34" ht="16.2" customHeight="1" x14ac:dyDescent="0.25">
      <c r="B31" s="22">
        <f t="shared" si="2"/>
        <v>8</v>
      </c>
      <c r="C31" s="68"/>
      <c r="D31" s="69"/>
      <c r="E31" s="70"/>
      <c r="F31" s="71"/>
      <c r="G31" s="71"/>
      <c r="H31" s="72"/>
      <c r="I31" s="72"/>
      <c r="J31" s="73"/>
      <c r="K31" s="71"/>
      <c r="L31" s="74"/>
      <c r="M31" s="74"/>
      <c r="N31" s="74"/>
      <c r="O31" s="74"/>
      <c r="P31" s="74"/>
      <c r="Q31" s="74"/>
      <c r="R31" s="74"/>
      <c r="S31" s="75" t="str">
        <f t="shared" si="3"/>
        <v/>
      </c>
      <c r="T31" s="75" t="str">
        <f t="shared" si="4"/>
        <v/>
      </c>
      <c r="U31" s="74"/>
      <c r="V31" s="107"/>
      <c r="W31" s="74"/>
      <c r="X31" s="74"/>
      <c r="Y31" s="75" t="str">
        <f t="shared" si="5"/>
        <v/>
      </c>
      <c r="Z31" s="74"/>
      <c r="AA31" s="75" t="str">
        <f t="shared" si="7"/>
        <v/>
      </c>
      <c r="AB31" s="76" t="str">
        <f t="shared" si="8"/>
        <v/>
      </c>
      <c r="AC31" s="71"/>
      <c r="AD31" s="71"/>
      <c r="AE31" s="71"/>
      <c r="AF31" s="45"/>
      <c r="AG31" s="47"/>
      <c r="AH31" s="46"/>
    </row>
    <row r="32" spans="2:34" ht="16.2" customHeight="1" x14ac:dyDescent="0.25">
      <c r="B32" s="22">
        <f t="shared" si="2"/>
        <v>9</v>
      </c>
      <c r="C32" s="68"/>
      <c r="D32" s="69"/>
      <c r="E32" s="70"/>
      <c r="F32" s="71"/>
      <c r="G32" s="71"/>
      <c r="H32" s="72"/>
      <c r="I32" s="72"/>
      <c r="J32" s="73"/>
      <c r="K32" s="71"/>
      <c r="L32" s="74"/>
      <c r="M32" s="74"/>
      <c r="N32" s="74"/>
      <c r="O32" s="74"/>
      <c r="P32" s="74"/>
      <c r="Q32" s="74"/>
      <c r="R32" s="74"/>
      <c r="S32" s="75" t="str">
        <f t="shared" si="3"/>
        <v/>
      </c>
      <c r="T32" s="75" t="str">
        <f t="shared" si="4"/>
        <v/>
      </c>
      <c r="U32" s="74"/>
      <c r="V32" s="107"/>
      <c r="W32" s="74"/>
      <c r="X32" s="74"/>
      <c r="Y32" s="75" t="str">
        <f t="shared" si="5"/>
        <v/>
      </c>
      <c r="Z32" s="74"/>
      <c r="AA32" s="75" t="str">
        <f t="shared" si="7"/>
        <v/>
      </c>
      <c r="AB32" s="75" t="str">
        <f t="shared" si="8"/>
        <v/>
      </c>
      <c r="AC32" s="71"/>
      <c r="AD32" s="71"/>
      <c r="AE32" s="71"/>
      <c r="AF32" s="45"/>
      <c r="AG32" s="47"/>
      <c r="AH32" s="46"/>
    </row>
    <row r="40" spans="7:7" x14ac:dyDescent="0.25">
      <c r="G40" s="1"/>
    </row>
  </sheetData>
  <sheetProtection sheet="1" selectLockedCells="1"/>
  <autoFilter ref="B22:AH22" xr:uid="{9FFA3797-0EEB-4B34-9963-F2C0DE792278}"/>
  <mergeCells count="29">
    <mergeCell ref="AD19:AD21"/>
    <mergeCell ref="AE19:AE20"/>
    <mergeCell ref="AA19:AB19"/>
    <mergeCell ref="C20:J20"/>
    <mergeCell ref="S19:T19"/>
    <mergeCell ref="P19:R19"/>
    <mergeCell ref="P21:R21"/>
    <mergeCell ref="V19:V20"/>
    <mergeCell ref="X19:X20"/>
    <mergeCell ref="N19:O20"/>
    <mergeCell ref="Z19:Z20"/>
    <mergeCell ref="W19:W21"/>
    <mergeCell ref="Y19:Y21"/>
    <mergeCell ref="J6:O16"/>
    <mergeCell ref="U19:U21"/>
    <mergeCell ref="C21:E21"/>
    <mergeCell ref="L19:M19"/>
    <mergeCell ref="F14:H14"/>
    <mergeCell ref="F15:H15"/>
    <mergeCell ref="F16:H16"/>
    <mergeCell ref="K19:K21"/>
    <mergeCell ref="F6:H6"/>
    <mergeCell ref="F7:H7"/>
    <mergeCell ref="F8:H8"/>
    <mergeCell ref="F9:H9"/>
    <mergeCell ref="F10:H10"/>
    <mergeCell ref="F11:H11"/>
    <mergeCell ref="F12:H12"/>
    <mergeCell ref="F13:H13"/>
  </mergeCells>
  <conditionalFormatting sqref="B23:AH32">
    <cfRule type="expression" dxfId="2" priority="3">
      <formula>MOD(ROW(),2)=0</formula>
    </cfRule>
  </conditionalFormatting>
  <conditionalFormatting sqref="U23:X32 L23:R32 Z23:Z32 AC23:AE32">
    <cfRule type="cellIs" dxfId="1" priority="2" operator="equal">
      <formula>""</formula>
    </cfRule>
  </conditionalFormatting>
  <conditionalFormatting sqref="V23:W32">
    <cfRule type="expression" dxfId="0" priority="1">
      <formula>OR(AND(U23="[A]",V23&lt;170,V23&lt;&gt;0),AND(U23="[B]",OR(V23&gt;170,V23&lt;84),V23&lt;&gt;0),AND(U23="[C]",V23&lt;&gt;0,OR(V23&gt;85,V23&lt;6)))</formula>
    </cfRule>
  </conditionalFormatting>
  <dataValidations count="14">
    <dataValidation type="list" allowBlank="1" sqref="G23:G32" xr:uid="{63EDA4E1-0C47-46A4-BC7F-D1D41EF6AEDF}">
      <formula1>"SB,PS,CL"</formula1>
    </dataValidation>
    <dataValidation type="whole" allowBlank="1" showErrorMessage="1" error="ganze Zahl / integer only_x000a_COmin.: 600mm_x000a_COmax.: 1249mm" sqref="L23:L32" xr:uid="{F009D37E-D09A-4189-852D-E91E653DF3C8}">
      <formula1>500</formula1>
      <formula2>1249</formula2>
    </dataValidation>
    <dataValidation type="whole" allowBlank="1" showInputMessage="1" showErrorMessage="1" error="ganze Zahl / integer only_x000a_CHmin.: 1500mm_x000a_CHmax.: 2418mm" sqref="M23:M32" xr:uid="{9AAC4865-45C5-4886-9D30-41D4424AA30A}">
      <formula1>1500</formula1>
      <formula2>2418</formula2>
    </dataValidation>
    <dataValidation type="list" allowBlank="1" sqref="C23:C32" xr:uid="{B887D115-9443-4FB4-AF96-280DF3D94C5C}">
      <formula1>$F$13</formula1>
    </dataValidation>
    <dataValidation type="list" allowBlank="1" showInputMessage="1" showErrorMessage="1" sqref="K23:K32" xr:uid="{8055208D-52DE-4D49-A2BE-1C08C527DCFD}">
      <formula1>"0,30,60"</formula1>
    </dataValidation>
    <dataValidation type="list" allowBlank="1" showInputMessage="1" showErrorMessage="1" sqref="AC23:AC32" xr:uid="{F257521A-20E2-4DED-8B0D-3962ADA74F8C}">
      <formula1>"L,R"</formula1>
    </dataValidation>
    <dataValidation type="list" allowBlank="1" showInputMessage="1" showErrorMessage="1" sqref="U23:U32" xr:uid="{C9EB0C59-189F-4A46-97F5-C88CFBF735CB}">
      <formula1>"[A],[B],[C]"</formula1>
    </dataValidation>
    <dataValidation type="whole" allowBlank="1" showInputMessage="1" showErrorMessage="1" error="max. R 0 - 150mm" sqref="X23:X32" xr:uid="{D003C1F1-191D-4E23-A6EE-A2C4F12E0234}">
      <formula1>0</formula1>
      <formula2>150</formula2>
    </dataValidation>
    <dataValidation type="custom" allowBlank="1" showInputMessage="1" showErrorMessage="1" error="LIMITS:_x000a_[A] &gt;= 170mm_x000a_[B] 85-169mm_x000a_[C] 6-84mm" sqref="V23:V32" xr:uid="{F0B84179-FC1D-40B1-901A-63FC651D3490}">
      <formula1>OR(AND(U23="[A]",V23&gt;=170),AND(U23="[B]",V23&lt;170,V23&gt;84),AND(U23="[C]",V23&lt;85,V23&gt;=6))</formula1>
    </dataValidation>
    <dataValidation type="whole" allowBlank="1" showInputMessage="1" showErrorMessage="1" sqref="N23:N32" xr:uid="{067BCC79-EBF4-4A27-978E-816B65B820FD}">
      <formula1>0</formula1>
      <formula2>20</formula2>
    </dataValidation>
    <dataValidation type="whole" allowBlank="1" showInputMessage="1" showErrorMessage="1" sqref="O23:O32" xr:uid="{7DAFF5DC-5FCD-43BB-AC33-94DF2A022238}">
      <formula1>0</formula1>
      <formula2>7</formula2>
    </dataValidation>
    <dataValidation type="whole" allowBlank="1" showInputMessage="1" showErrorMessage="1" error="4 - 12mm" sqref="Z23:Z32" xr:uid="{DF200314-4232-4FBA-81DF-B283AD5BF35E}">
      <formula1>4</formula1>
      <formula2>12</formula2>
    </dataValidation>
    <dataValidation type="list" allowBlank="1" showInputMessage="1" showErrorMessage="1" sqref="AD23:AD32" xr:uid="{8D0AEF83-C298-4819-8215-1B2AEC528124}">
      <formula1>"[G],[P]"</formula1>
    </dataValidation>
    <dataValidation type="list" allowBlank="1" showInputMessage="1" showErrorMessage="1" sqref="W23:W32" xr:uid="{27ED576A-D5A6-4E66-BAF2-0FB9EFDBEC7B}">
      <formula1>"[V],[K]"</formula1>
    </dataValidation>
  </dataValidations>
  <pageMargins left="0.7" right="0.7" top="0.78740157499999996" bottom="0.78740157499999996"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F520C-C8F8-4352-9C70-38A7517A7EC4}">
  <sheetPr codeName="Tabelle1">
    <tabColor rgb="FFC00000"/>
  </sheetPr>
  <dimension ref="C2:AW134"/>
  <sheetViews>
    <sheetView showGridLines="0" topLeftCell="O121" workbookViewId="0">
      <selection activeCell="S123" sqref="S123"/>
    </sheetView>
  </sheetViews>
  <sheetFormatPr baseColWidth="10" defaultRowHeight="13.2" x14ac:dyDescent="0.25"/>
  <cols>
    <col min="1" max="12" width="4" customWidth="1"/>
    <col min="14" max="14" width="18.33203125" customWidth="1"/>
    <col min="15" max="21" width="11.5546875" customWidth="1"/>
    <col min="22" max="22" width="5.6640625" customWidth="1"/>
    <col min="23" max="23" width="40.6640625" style="77" customWidth="1"/>
    <col min="24" max="24" width="11.5546875" customWidth="1"/>
    <col min="34" max="34" width="3.21875" bestFit="1" customWidth="1"/>
    <col min="35" max="38" width="7.5546875" customWidth="1"/>
    <col min="39" max="39" width="6.21875" customWidth="1"/>
    <col min="40" max="40" width="5.21875" customWidth="1"/>
    <col min="42" max="42" width="32.6640625" customWidth="1"/>
    <col min="44" max="48" width="4.5546875" customWidth="1"/>
    <col min="49" max="49" width="56.33203125" customWidth="1"/>
  </cols>
  <sheetData>
    <row r="2" spans="14:49" x14ac:dyDescent="0.25">
      <c r="N2" s="16" t="s">
        <v>2</v>
      </c>
      <c r="O2" s="17">
        <f ca="1">IF((ROW(a)+NOW()*0)&lt;=21,21,ROW(a)+NOW()*0)</f>
        <v>21</v>
      </c>
    </row>
    <row r="3" spans="14:49" x14ac:dyDescent="0.25">
      <c r="N3" s="16" t="s">
        <v>3</v>
      </c>
      <c r="O3" s="17">
        <f ca="1">COLUMN(a)+NOW()*0</f>
        <v>5</v>
      </c>
    </row>
    <row r="4" spans="14:49" x14ac:dyDescent="0.25">
      <c r="N4" s="16" t="s">
        <v>27</v>
      </c>
      <c r="O4" s="17">
        <f>IF('#SETTINGS'!D9="DEUTSCH",1,2)</f>
        <v>1</v>
      </c>
    </row>
    <row r="5" spans="14:49" x14ac:dyDescent="0.25">
      <c r="S5" s="23" t="s">
        <v>15</v>
      </c>
      <c r="AH5" s="91" t="s">
        <v>154</v>
      </c>
      <c r="AI5" s="91" t="s">
        <v>158</v>
      </c>
      <c r="AJ5" s="91"/>
      <c r="AK5" s="91"/>
      <c r="AL5" s="91"/>
      <c r="AM5" s="91"/>
      <c r="AN5" s="91"/>
      <c r="AO5" s="91"/>
      <c r="AP5" s="91"/>
      <c r="AR5" s="92" t="s">
        <v>184</v>
      </c>
      <c r="AS5" s="91"/>
      <c r="AT5" s="91"/>
      <c r="AU5" s="91"/>
      <c r="AV5" s="91"/>
      <c r="AW5" s="91"/>
    </row>
    <row r="6" spans="14:49" x14ac:dyDescent="0.25">
      <c r="N6" s="16" t="s">
        <v>31</v>
      </c>
      <c r="O6" s="23" t="s">
        <v>28</v>
      </c>
      <c r="P6" s="23" t="s">
        <v>29</v>
      </c>
      <c r="R6" s="34" t="s">
        <v>49</v>
      </c>
      <c r="S6" s="34" t="s">
        <v>48</v>
      </c>
      <c r="T6" s="34" t="s">
        <v>28</v>
      </c>
      <c r="U6" s="34" t="s">
        <v>29</v>
      </c>
      <c r="AH6" s="91" t="s">
        <v>155</v>
      </c>
      <c r="AI6" s="91" t="s">
        <v>159</v>
      </c>
      <c r="AJ6" s="91"/>
      <c r="AK6" s="91"/>
      <c r="AL6" s="91"/>
      <c r="AM6" s="91"/>
      <c r="AN6" s="91"/>
      <c r="AO6" s="91"/>
      <c r="AP6" s="91"/>
      <c r="AR6" s="91"/>
      <c r="AS6" s="91" t="s">
        <v>196</v>
      </c>
      <c r="AT6" s="91"/>
      <c r="AU6" s="91"/>
      <c r="AV6" s="91"/>
      <c r="AW6" s="91"/>
    </row>
    <row r="7" spans="14:49" x14ac:dyDescent="0.25">
      <c r="N7" s="23" t="str">
        <f t="shared" ref="N7:N38" si="0">IF(statSpr=1,O7,P7)</f>
        <v>PROJEKT NAME</v>
      </c>
      <c r="O7" s="23" t="s">
        <v>16</v>
      </c>
      <c r="P7" s="23" t="s">
        <v>25</v>
      </c>
      <c r="R7" s="34">
        <f t="shared" ref="R7:R38" si="1">ROW()-6</f>
        <v>1</v>
      </c>
      <c r="S7" s="34" t="str">
        <f>IF(AND(Tabelle1[[#This Row],[D]]&lt;&gt;"",statSpr=1),T7,IF(AND(Tabelle1[[#This Row],[E]]&lt;&gt;"",statSpr=2),U7,""))</f>
        <v>F9 für Spalteninfo</v>
      </c>
      <c r="T7" s="34" t="s">
        <v>68</v>
      </c>
      <c r="U7" s="34" t="s">
        <v>69</v>
      </c>
      <c r="AH7" s="91" t="s">
        <v>156</v>
      </c>
      <c r="AI7" s="91" t="s">
        <v>160</v>
      </c>
      <c r="AJ7" s="91" t="s">
        <v>162</v>
      </c>
      <c r="AK7" s="91"/>
      <c r="AL7" s="91"/>
      <c r="AM7" s="91"/>
      <c r="AN7" s="91"/>
      <c r="AO7" s="91"/>
      <c r="AP7" s="91"/>
      <c r="AR7" s="91"/>
      <c r="AS7" s="91" t="s">
        <v>197</v>
      </c>
      <c r="AT7" s="91"/>
      <c r="AU7" s="91"/>
      <c r="AV7" s="91"/>
      <c r="AW7" s="91"/>
    </row>
    <row r="8" spans="14:49" x14ac:dyDescent="0.25">
      <c r="N8" s="23" t="str">
        <f t="shared" si="0"/>
        <v>LED PROJEKT NR.</v>
      </c>
      <c r="O8" s="23" t="s">
        <v>5</v>
      </c>
      <c r="P8" s="23" t="s">
        <v>17</v>
      </c>
      <c r="R8" s="34">
        <f t="shared" si="1"/>
        <v>2</v>
      </c>
      <c r="S8" s="34" t="str">
        <f>IF(AND(Tabelle1[[#This Row],[D]]&lt;&gt;"",statSpr=1),T8,IF(AND(Tabelle1[[#This Row],[E]]&lt;&gt;"",statSpr=2),U8,""))</f>
        <v>Lfd. Positionsnummer</v>
      </c>
      <c r="T8" s="34" t="s">
        <v>66</v>
      </c>
      <c r="U8" s="34" t="s">
        <v>67</v>
      </c>
      <c r="AH8" s="91" t="s">
        <v>157</v>
      </c>
      <c r="AI8" s="91" t="s">
        <v>161</v>
      </c>
      <c r="AJ8" s="91" t="s">
        <v>163</v>
      </c>
      <c r="AK8" s="91"/>
      <c r="AL8" s="91"/>
      <c r="AM8" s="91"/>
      <c r="AN8" s="91"/>
      <c r="AO8" s="91"/>
      <c r="AP8" s="91"/>
      <c r="AR8" s="91"/>
      <c r="AS8" s="91" t="s">
        <v>185</v>
      </c>
      <c r="AT8" s="91"/>
      <c r="AU8" s="91"/>
      <c r="AV8" s="91"/>
      <c r="AW8" s="91"/>
    </row>
    <row r="9" spans="14:49" x14ac:dyDescent="0.25">
      <c r="N9" s="23" t="str">
        <f t="shared" si="0"/>
        <v>REV.</v>
      </c>
      <c r="O9" s="23" t="s">
        <v>30</v>
      </c>
      <c r="P9" s="23" t="s">
        <v>4</v>
      </c>
      <c r="R9" s="34">
        <f t="shared" si="1"/>
        <v>3</v>
      </c>
      <c r="S9" s="34" t="str">
        <f>IF(AND(Tabelle1[[#This Row],[D]]&lt;&gt;"",statSpr=1),T9,IF(AND(Tabelle1[[#This Row],[E]]&lt;&gt;"",statSpr=2),U9,""))</f>
        <v>Angabe der Baugruppe oder Auswahl aus dem Menue</v>
      </c>
      <c r="T9" s="34" t="s">
        <v>57</v>
      </c>
      <c r="U9" s="34" t="s">
        <v>58</v>
      </c>
      <c r="AH9" s="91"/>
      <c r="AI9" s="91"/>
      <c r="AJ9" s="91"/>
      <c r="AK9" s="91"/>
      <c r="AL9" s="91"/>
      <c r="AM9" s="91"/>
      <c r="AN9" s="91"/>
      <c r="AO9" s="91"/>
      <c r="AP9" s="91"/>
      <c r="AR9" s="91"/>
      <c r="AS9" s="91" t="s">
        <v>186</v>
      </c>
      <c r="AT9" s="91"/>
      <c r="AU9" s="91"/>
      <c r="AV9" s="91"/>
      <c r="AW9" s="91"/>
    </row>
    <row r="10" spans="14:49" x14ac:dyDescent="0.25">
      <c r="N10" s="23" t="str">
        <f t="shared" si="0"/>
        <v>BEARBEITER</v>
      </c>
      <c r="O10" s="23" t="s">
        <v>6</v>
      </c>
      <c r="P10" s="23" t="s">
        <v>24</v>
      </c>
      <c r="R10" s="34">
        <f t="shared" si="1"/>
        <v>4</v>
      </c>
      <c r="S10" s="34" t="str">
        <f>IF(AND(Tabelle1[[#This Row],[D]]&lt;&gt;"",statSpr=1),T10,IF(AND(Tabelle1[[#This Row],[E]]&lt;&gt;"",statSpr=2),U10,""))</f>
        <v>F9 für Spalteninfo</v>
      </c>
      <c r="T10" s="34" t="s">
        <v>68</v>
      </c>
      <c r="U10" s="34" t="s">
        <v>69</v>
      </c>
      <c r="AH10" s="92" t="s">
        <v>164</v>
      </c>
      <c r="AI10" s="91"/>
      <c r="AJ10" s="91"/>
      <c r="AK10" s="91"/>
      <c r="AL10" s="91"/>
      <c r="AM10" s="91"/>
      <c r="AN10" s="91"/>
      <c r="AO10" s="91"/>
      <c r="AP10" s="91"/>
      <c r="AR10" s="91"/>
      <c r="AS10" s="91"/>
      <c r="AT10" s="92" t="s">
        <v>164</v>
      </c>
      <c r="AU10" s="91"/>
      <c r="AV10" s="91"/>
      <c r="AW10" s="91"/>
    </row>
    <row r="11" spans="14:49" x14ac:dyDescent="0.25">
      <c r="N11" s="23" t="str">
        <f t="shared" si="0"/>
        <v>VORGANG</v>
      </c>
      <c r="O11" s="23" t="s">
        <v>7</v>
      </c>
      <c r="P11" s="23" t="s">
        <v>18</v>
      </c>
      <c r="R11" s="34">
        <f t="shared" si="1"/>
        <v>5</v>
      </c>
      <c r="S11" s="34" t="str">
        <f>IF(AND(Tabelle1[[#This Row],[D]]&lt;&gt;"",statSpr=1),T11,IF(AND(Tabelle1[[#This Row],[E]]&lt;&gt;"",statSpr=2),U11,""))</f>
        <v>Anlagen Nr. gem. Kunde</v>
      </c>
      <c r="T11" s="34" t="s">
        <v>70</v>
      </c>
      <c r="U11" s="34" t="s">
        <v>71</v>
      </c>
      <c r="AH11" s="91" t="s">
        <v>155</v>
      </c>
      <c r="AI11" s="93" t="s">
        <v>165</v>
      </c>
      <c r="AJ11" s="91"/>
      <c r="AK11" s="91"/>
      <c r="AL11" s="91"/>
      <c r="AM11" s="91"/>
      <c r="AN11" s="91"/>
      <c r="AO11" s="91"/>
      <c r="AP11" s="91"/>
      <c r="AR11" s="91"/>
      <c r="AS11" s="91"/>
      <c r="AT11" s="91" t="s">
        <v>187</v>
      </c>
      <c r="AU11" s="91"/>
      <c r="AV11" s="91"/>
      <c r="AW11" s="91"/>
    </row>
    <row r="12" spans="14:49" x14ac:dyDescent="0.25">
      <c r="N12" s="23" t="str">
        <f t="shared" si="0"/>
        <v>KUNDE</v>
      </c>
      <c r="O12" s="23" t="s">
        <v>8</v>
      </c>
      <c r="P12" s="23" t="s">
        <v>19</v>
      </c>
      <c r="R12" s="34">
        <f t="shared" si="1"/>
        <v>6</v>
      </c>
      <c r="S12" s="34" t="str">
        <f>IF(AND(Tabelle1[[#This Row],[D]]&lt;&gt;"",statSpr=1),T12,IF(AND(Tabelle1[[#This Row],[E]]&lt;&gt;"",statSpr=2),U12,""))</f>
        <v>Position der Anlage, hier SPANT</v>
      </c>
      <c r="T12" s="34" t="s">
        <v>72</v>
      </c>
      <c r="U12" s="34" t="s">
        <v>73</v>
      </c>
      <c r="AH12" s="91"/>
      <c r="AI12" s="91" t="s">
        <v>166</v>
      </c>
      <c r="AJ12" s="91"/>
      <c r="AK12" s="91"/>
      <c r="AL12" s="91"/>
      <c r="AM12" s="91"/>
      <c r="AN12" s="91"/>
      <c r="AO12" s="91"/>
      <c r="AP12" s="91"/>
      <c r="AR12" s="91"/>
      <c r="AS12" s="91"/>
      <c r="AT12" s="91" t="s">
        <v>188</v>
      </c>
      <c r="AU12" s="91"/>
      <c r="AV12" s="91"/>
      <c r="AW12" s="91"/>
    </row>
    <row r="13" spans="14:49" x14ac:dyDescent="0.25">
      <c r="N13" s="23" t="str">
        <f t="shared" si="0"/>
        <v>DATUM</v>
      </c>
      <c r="O13" s="23" t="s">
        <v>9</v>
      </c>
      <c r="P13" s="23" t="s">
        <v>20</v>
      </c>
      <c r="R13" s="34">
        <f t="shared" si="1"/>
        <v>7</v>
      </c>
      <c r="S13" s="34" t="str">
        <f>IF(AND(Tabelle1[[#This Row],[D]]&lt;&gt;"",statSpr=1),T13,IF(AND(Tabelle1[[#This Row],[E]]&lt;&gt;"",statSpr=2),U13,""))</f>
        <v>Position der Anlage, steuerbord (SB) / backbord (PS) / Mitte (CL)</v>
      </c>
      <c r="T13" s="34" t="s">
        <v>74</v>
      </c>
      <c r="U13" s="34" t="s">
        <v>75</v>
      </c>
      <c r="AH13" s="91"/>
      <c r="AI13" s="92" t="s">
        <v>167</v>
      </c>
      <c r="AJ13" s="91"/>
      <c r="AK13" s="91"/>
      <c r="AL13" s="91"/>
      <c r="AM13" s="91"/>
      <c r="AN13" s="91"/>
      <c r="AO13" s="91"/>
      <c r="AP13" s="91"/>
      <c r="AR13" s="91"/>
      <c r="AS13" s="91"/>
      <c r="AT13" s="91" t="s">
        <v>189</v>
      </c>
      <c r="AU13" s="91"/>
      <c r="AV13" s="91"/>
      <c r="AW13" s="91"/>
    </row>
    <row r="14" spans="14:49" x14ac:dyDescent="0.25">
      <c r="N14" s="23" t="str">
        <f t="shared" si="0"/>
        <v>NOTIZ I</v>
      </c>
      <c r="O14" s="23" t="s">
        <v>10</v>
      </c>
      <c r="P14" s="23" t="s">
        <v>21</v>
      </c>
      <c r="R14" s="34">
        <f t="shared" si="1"/>
        <v>8</v>
      </c>
      <c r="S14" s="34" t="str">
        <f>IF(AND(Tabelle1[[#This Row],[D]]&lt;&gt;"",statSpr=1),T14,IF(AND(Tabelle1[[#This Row],[E]]&lt;&gt;"",statSpr=2),U14,""))</f>
        <v>Raum Bezeichnung</v>
      </c>
      <c r="T14" s="34" t="s">
        <v>76</v>
      </c>
      <c r="U14" s="34" t="s">
        <v>77</v>
      </c>
      <c r="AH14" s="91"/>
      <c r="AI14" s="91"/>
      <c r="AJ14" s="91" t="s">
        <v>168</v>
      </c>
      <c r="AK14" s="91"/>
      <c r="AL14" s="91"/>
      <c r="AM14" s="91"/>
      <c r="AN14" s="91"/>
      <c r="AO14" s="91"/>
      <c r="AP14" s="91"/>
      <c r="AR14" s="91"/>
      <c r="AS14" s="91"/>
      <c r="AT14" s="91" t="s">
        <v>190</v>
      </c>
      <c r="AU14" s="91"/>
      <c r="AV14" s="91"/>
      <c r="AW14" s="91"/>
    </row>
    <row r="15" spans="14:49" x14ac:dyDescent="0.25">
      <c r="N15" s="23" t="str">
        <f t="shared" si="0"/>
        <v>NOTIZ II</v>
      </c>
      <c r="O15" s="23" t="s">
        <v>11</v>
      </c>
      <c r="P15" s="23" t="s">
        <v>22</v>
      </c>
      <c r="R15" s="34">
        <f t="shared" si="1"/>
        <v>9</v>
      </c>
      <c r="S15" s="34" t="str">
        <f>IF(AND(Tabelle1[[#This Row],[D]]&lt;&gt;"",statSpr=1),T15,IF(AND(Tabelle1[[#This Row],[E]]&lt;&gt;"",statSpr=2),U15,""))</f>
        <v>Raum Bezeichnung</v>
      </c>
      <c r="T15" s="34" t="s">
        <v>76</v>
      </c>
      <c r="U15" s="34" t="s">
        <v>77</v>
      </c>
      <c r="AH15" s="91"/>
      <c r="AI15" s="91"/>
      <c r="AJ15" s="91" t="s">
        <v>169</v>
      </c>
      <c r="AK15" s="91"/>
      <c r="AL15" s="91"/>
      <c r="AM15" s="91"/>
      <c r="AN15" s="91"/>
      <c r="AO15" s="91"/>
      <c r="AP15" s="91"/>
      <c r="AR15" s="91"/>
      <c r="AS15" s="91"/>
      <c r="AT15" s="91"/>
      <c r="AU15" s="92" t="s">
        <v>191</v>
      </c>
      <c r="AV15" s="91"/>
      <c r="AW15" s="91"/>
    </row>
    <row r="16" spans="14:49" x14ac:dyDescent="0.25">
      <c r="N16" s="23" t="str">
        <f t="shared" si="0"/>
        <v>NOTIZ III</v>
      </c>
      <c r="O16" s="23" t="s">
        <v>12</v>
      </c>
      <c r="P16" s="23" t="s">
        <v>23</v>
      </c>
      <c r="R16" s="34">
        <f t="shared" si="1"/>
        <v>10</v>
      </c>
      <c r="S16" s="34" t="str">
        <f>IF(AND(Tabelle1[[#This Row],[D]]&lt;&gt;"",statSpr=1),T16,IF(AND(Tabelle1[[#This Row],[E]]&lt;&gt;"",statSpr=2),U16,""))</f>
        <v>Freie Bezeichnung oder zusätzliche Information</v>
      </c>
      <c r="T16" s="34" t="s">
        <v>79</v>
      </c>
      <c r="U16" s="34" t="s">
        <v>78</v>
      </c>
      <c r="AH16" s="91"/>
      <c r="AI16" s="91"/>
      <c r="AJ16" s="91"/>
      <c r="AK16" s="91" t="s">
        <v>170</v>
      </c>
      <c r="AL16" s="91"/>
      <c r="AM16" s="91"/>
      <c r="AN16" s="91"/>
      <c r="AO16" s="91"/>
      <c r="AP16" s="91"/>
      <c r="AR16" s="91"/>
      <c r="AS16" s="91"/>
      <c r="AT16" s="91"/>
      <c r="AU16" s="91" t="s">
        <v>192</v>
      </c>
      <c r="AV16" s="91"/>
      <c r="AW16" s="91"/>
    </row>
    <row r="17" spans="14:49" x14ac:dyDescent="0.25">
      <c r="N17" s="23" t="str">
        <f t="shared" si="0"/>
        <v>NR.</v>
      </c>
      <c r="O17" s="23" t="s">
        <v>32</v>
      </c>
      <c r="P17" s="23" t="s">
        <v>14</v>
      </c>
      <c r="R17" s="34">
        <f t="shared" si="1"/>
        <v>11</v>
      </c>
      <c r="S17" s="34" t="str">
        <f>IF(AND(Tabelle1[[#This Row],[D]]&lt;&gt;"",statSpr=1),T17,IF(AND(Tabelle1[[#This Row],[E]]&lt;&gt;"",statSpr=2),U17,""))</f>
        <v>Zulassung (A0-A60)</v>
      </c>
      <c r="T17" s="34" t="s">
        <v>50</v>
      </c>
      <c r="U17" s="34" t="s">
        <v>51</v>
      </c>
      <c r="AH17" s="91"/>
      <c r="AI17" s="91"/>
      <c r="AJ17" s="91"/>
      <c r="AK17" s="91" t="s">
        <v>171</v>
      </c>
      <c r="AL17" s="91"/>
      <c r="AM17" s="91"/>
      <c r="AN17" s="91"/>
      <c r="AO17" s="91"/>
      <c r="AP17" s="91"/>
      <c r="AR17" s="91"/>
      <c r="AS17" s="91"/>
      <c r="AT17" s="91"/>
      <c r="AU17" s="91" t="s">
        <v>174</v>
      </c>
      <c r="AV17" s="91"/>
      <c r="AW17" s="91"/>
    </row>
    <row r="18" spans="14:49" x14ac:dyDescent="0.25">
      <c r="N18" s="23" t="str">
        <f t="shared" si="0"/>
        <v>TECHNISCHE DURCHGANGSGRÖSSE</v>
      </c>
      <c r="O18" s="23" t="s">
        <v>95</v>
      </c>
      <c r="P18" s="23" t="s">
        <v>96</v>
      </c>
      <c r="R18" s="34">
        <f t="shared" si="1"/>
        <v>12</v>
      </c>
      <c r="S18" s="34" t="str">
        <f>IF(AND(Tabelle1[[#This Row],[D]]&lt;&gt;"",statSpr=1),T18,IF(AND(Tabelle1[[#This Row],[E]]&lt;&gt;"",statSpr=2),U18,""))</f>
        <v>Lichte Weite gem. Prüfung, entspricht technische lichte Breite ohne ggf. zusätzliches dekoratives Cladding</v>
      </c>
      <c r="T18" s="34" t="s">
        <v>90</v>
      </c>
      <c r="U18" s="34" t="s">
        <v>115</v>
      </c>
      <c r="AH18" s="91"/>
      <c r="AI18" s="91"/>
      <c r="AJ18" s="91"/>
      <c r="AK18" s="91"/>
      <c r="AL18" s="92" t="s">
        <v>172</v>
      </c>
      <c r="AM18" s="91"/>
      <c r="AN18" s="91"/>
      <c r="AO18" s="91"/>
      <c r="AP18" s="91"/>
      <c r="AR18" s="91"/>
      <c r="AS18" s="91"/>
      <c r="AT18" s="91"/>
      <c r="AU18" s="91"/>
      <c r="AV18" s="92" t="s">
        <v>193</v>
      </c>
      <c r="AW18" s="91"/>
    </row>
    <row r="19" spans="14:49" x14ac:dyDescent="0.25">
      <c r="N19" s="23" t="str">
        <f t="shared" si="0"/>
        <v>SPANT</v>
      </c>
      <c r="O19" s="23" t="s">
        <v>35</v>
      </c>
      <c r="P19" s="23" t="s">
        <v>13</v>
      </c>
      <c r="R19" s="34">
        <f t="shared" si="1"/>
        <v>13</v>
      </c>
      <c r="S19" s="34" t="str">
        <f>IF(AND(Tabelle1[[#This Row],[D]]&lt;&gt;"",statSpr=1),T19,IF(AND(Tabelle1[[#This Row],[E]]&lt;&gt;"",statSpr=2),U19,""))</f>
        <v>Lichte Höhe gem. Prüfung, entspricht technische lichte Höhe ohne ggf. zusätzliches dekoratives Cladding im Deckenbereich aber zzgl. Schwellenhöhe / Bodenaufbau</v>
      </c>
      <c r="T19" s="34" t="s">
        <v>116</v>
      </c>
      <c r="U19" s="34" t="s">
        <v>117</v>
      </c>
      <c r="AH19" s="91"/>
      <c r="AI19" s="91"/>
      <c r="AJ19" s="91"/>
      <c r="AK19" s="91"/>
      <c r="AL19" s="91" t="s">
        <v>173</v>
      </c>
      <c r="AM19" s="91"/>
      <c r="AN19" s="91"/>
      <c r="AO19" s="91"/>
      <c r="AP19" s="91"/>
      <c r="AR19" s="91"/>
      <c r="AS19" s="91"/>
      <c r="AT19" s="91"/>
      <c r="AU19" s="91"/>
      <c r="AV19" s="91" t="s">
        <v>194</v>
      </c>
      <c r="AW19" s="91"/>
    </row>
    <row r="20" spans="14:49" x14ac:dyDescent="0.25">
      <c r="N20" s="23" t="str">
        <f t="shared" si="0"/>
        <v>RAUM</v>
      </c>
      <c r="O20" s="23" t="s">
        <v>36</v>
      </c>
      <c r="P20" s="23" t="s">
        <v>37</v>
      </c>
      <c r="R20" s="34">
        <f t="shared" si="1"/>
        <v>14</v>
      </c>
      <c r="S20" s="34" t="str">
        <f>IF(AND(Tabelle1[[#This Row],[D]]&lt;&gt;"",statSpr=1),T20,IF(AND(Tabelle1[[#This Row],[E]]&lt;&gt;"",statSpr=2),U20,""))</f>
        <v>Dekorativer Aufbau des Sülls im Durchgangsbereich unterhalb des Türblattes. Muss unbrennbar ausgeführt werden. Technische lichte Höhe (8) wird bis OK Süll Abdeckung angegeben. Ausbrand um entsprechende Höhe erweitert.</v>
      </c>
      <c r="T20" s="34" t="s">
        <v>128</v>
      </c>
      <c r="U20" s="34" t="s">
        <v>131</v>
      </c>
      <c r="AH20" s="91"/>
      <c r="AI20" s="91"/>
      <c r="AJ20" s="91"/>
      <c r="AK20" s="91"/>
      <c r="AL20" s="91" t="s">
        <v>174</v>
      </c>
      <c r="AM20" s="91"/>
      <c r="AN20" s="91"/>
      <c r="AO20" s="91"/>
      <c r="AP20" s="91"/>
      <c r="AR20" s="91"/>
      <c r="AS20" s="91"/>
      <c r="AT20" s="91"/>
      <c r="AU20" s="91"/>
      <c r="AV20" s="91" t="s">
        <v>195</v>
      </c>
      <c r="AW20" s="91"/>
    </row>
    <row r="21" spans="14:49" x14ac:dyDescent="0.25">
      <c r="N21" s="23" t="str">
        <f t="shared" si="0"/>
        <v>BENENNUNG</v>
      </c>
      <c r="O21" s="23" t="s">
        <v>38</v>
      </c>
      <c r="P21" s="23" t="s">
        <v>39</v>
      </c>
      <c r="R21" s="34">
        <f t="shared" si="1"/>
        <v>15</v>
      </c>
      <c r="S21" t="str">
        <f>IF(AND(Tabelle1[[#This Row],[D]]&lt;&gt;"",statSpr=1),T21,IF(AND(Tabelle1[[#This Row],[E]]&lt;&gt;"",statSpr=2),U21,""))</f>
        <v>Unterkonstruktion der dekorativen Schwelle im Durchgangsbereich. Muss unbrennbar ausgeführt werden, wird bei der Berechnung der technischen lichten Höhe (8) zusammen mit der dekorativen Schwellenhöhe (10) berücksichtigt. Ausbrand um entsprechende Höhe erweitert.</v>
      </c>
      <c r="T21" s="34" t="s">
        <v>129</v>
      </c>
      <c r="U21" s="34" t="s">
        <v>130</v>
      </c>
      <c r="AH21" s="91"/>
      <c r="AI21" s="91"/>
      <c r="AJ21" s="91"/>
      <c r="AK21" s="91"/>
      <c r="AL21" s="91"/>
      <c r="AM21" s="92" t="s">
        <v>175</v>
      </c>
      <c r="AN21" s="91"/>
      <c r="AO21" s="91"/>
      <c r="AP21" s="91"/>
      <c r="AR21" s="91"/>
      <c r="AS21" s="91"/>
      <c r="AT21" s="91"/>
      <c r="AU21" s="91"/>
      <c r="AV21" s="91"/>
      <c r="AW21" s="91"/>
    </row>
    <row r="22" spans="14:49" x14ac:dyDescent="0.25">
      <c r="N22" s="23" t="str">
        <f t="shared" si="0"/>
        <v>BAUGRUPPE</v>
      </c>
      <c r="O22" s="23" t="s">
        <v>40</v>
      </c>
      <c r="P22" s="23" t="s">
        <v>41</v>
      </c>
      <c r="R22" s="34">
        <f t="shared" si="1"/>
        <v>16</v>
      </c>
      <c r="S22" s="34" t="str">
        <f>IF(AND(Tabelle1[[#This Row],[D]]&lt;&gt;"",statSpr=1),T22,IF(AND(Tabelle1[[#This Row],[E]]&lt;&gt;"",statSpr=2),U22,""))</f>
        <v xml:space="preserve">Stärke der zusätzlichen dekorativen Verkleidungen auf S: Schließkante; O: Öffnungeseite; D: Decke </v>
      </c>
      <c r="T22" s="34" t="s">
        <v>93</v>
      </c>
      <c r="U22" s="34" t="s">
        <v>94</v>
      </c>
      <c r="AH22" s="91"/>
      <c r="AI22" s="91"/>
      <c r="AJ22" s="91"/>
      <c r="AK22" s="91"/>
      <c r="AL22" s="91"/>
      <c r="AM22" s="91" t="s">
        <v>176</v>
      </c>
      <c r="AN22" s="91">
        <v>12</v>
      </c>
      <c r="AO22" s="91" t="s">
        <v>162</v>
      </c>
      <c r="AP22" s="91"/>
      <c r="AR22" s="91"/>
      <c r="AS22" s="91"/>
      <c r="AT22" s="91"/>
      <c r="AU22" s="91"/>
      <c r="AV22" s="91" t="s">
        <v>154</v>
      </c>
      <c r="AW22" s="91">
        <v>55</v>
      </c>
    </row>
    <row r="23" spans="14:49" x14ac:dyDescent="0.25">
      <c r="N23" s="23" t="str">
        <f t="shared" si="0"/>
        <v>SCHOTT AUSBRAND</v>
      </c>
      <c r="O23" s="23" t="s">
        <v>217</v>
      </c>
      <c r="P23" s="23" t="s">
        <v>218</v>
      </c>
      <c r="R23" s="34">
        <f t="shared" si="1"/>
        <v>17</v>
      </c>
      <c r="S23" s="34" t="str">
        <f>IF(AND(Tabelle1[[#This Row],[D]]&lt;&gt;"",statSpr=1),T23,IF(AND(Tabelle1[[#This Row],[E]]&lt;&gt;"",statSpr=2),U23,""))</f>
        <v xml:space="preserve">Stärke der zusätzlichen dekorativen Verkleidungen auf S: Schließkante; O: Öffnungeseite; D: Decke </v>
      </c>
      <c r="T23" s="34" t="s">
        <v>93</v>
      </c>
      <c r="U23" s="34" t="s">
        <v>94</v>
      </c>
      <c r="AH23" s="91"/>
      <c r="AI23" s="91"/>
      <c r="AJ23" s="91"/>
      <c r="AK23" s="91"/>
      <c r="AL23" s="91"/>
      <c r="AM23" s="91" t="s">
        <v>177</v>
      </c>
      <c r="AN23" s="91">
        <v>30</v>
      </c>
      <c r="AO23" s="91" t="s">
        <v>163</v>
      </c>
      <c r="AP23" s="91"/>
      <c r="AR23" s="91"/>
      <c r="AS23" s="91"/>
      <c r="AT23" s="91"/>
      <c r="AU23" s="91"/>
      <c r="AV23" s="91"/>
      <c r="AW23" s="91" t="s">
        <v>238</v>
      </c>
    </row>
    <row r="24" spans="14:49" x14ac:dyDescent="0.25">
      <c r="N24" s="23" t="str">
        <f t="shared" si="0"/>
        <v>AUFBAU DEKO SCHWELLE</v>
      </c>
      <c r="O24" s="23" t="s">
        <v>118</v>
      </c>
      <c r="P24" s="23" t="s">
        <v>119</v>
      </c>
      <c r="R24" s="34">
        <f t="shared" si="1"/>
        <v>18</v>
      </c>
      <c r="S24" s="34" t="str">
        <f>IF(AND(Tabelle1[[#This Row],[D]]&lt;&gt;"",statSpr=1),T24,IF(AND(Tabelle1[[#This Row],[E]]&lt;&gt;"",statSpr=2),U24,""))</f>
        <v xml:space="preserve">Stärke der zusätzlichen dekorativen Verkleidungen auf S: Schließkante; O: Öffnungeseite; D: Decke </v>
      </c>
      <c r="T24" s="34" t="s">
        <v>93</v>
      </c>
      <c r="U24" s="34" t="s">
        <v>94</v>
      </c>
      <c r="AH24" s="91"/>
      <c r="AI24" s="91"/>
      <c r="AJ24" s="91"/>
      <c r="AK24" s="91"/>
      <c r="AL24" s="91"/>
      <c r="AM24" s="91" t="s">
        <v>178</v>
      </c>
      <c r="AN24" s="91">
        <v>10</v>
      </c>
      <c r="AO24" s="91" t="s">
        <v>179</v>
      </c>
      <c r="AP24" s="91"/>
      <c r="AR24" s="91"/>
      <c r="AS24" s="91"/>
      <c r="AT24" s="91"/>
      <c r="AU24" s="91"/>
      <c r="AV24" s="91" t="s">
        <v>198</v>
      </c>
      <c r="AW24" s="91">
        <f>AW22-(AW22-10)/SQRT(2)</f>
        <v>23.180194846605364</v>
      </c>
    </row>
    <row r="25" spans="14:49" x14ac:dyDescent="0.25">
      <c r="N25" s="23" t="str">
        <f t="shared" si="0"/>
        <v>KLASSE A…</v>
      </c>
      <c r="O25" s="23" t="s">
        <v>103</v>
      </c>
      <c r="P25" s="23" t="s">
        <v>104</v>
      </c>
      <c r="R25" s="34">
        <f t="shared" si="1"/>
        <v>19</v>
      </c>
      <c r="S25" s="34" t="str">
        <f>IF(AND(Tabelle1[[#This Row],[D]]&lt;&gt;"",statSpr=1),T25,IF(AND(Tabelle1[[#This Row],[E]]&lt;&gt;"",statSpr=2),U25,""))</f>
        <v>Tatsächliche Durchgangsbreite unter Berücksichtigung zusätzlicher dekorativer Verkleidungen (S &amp; O)</v>
      </c>
      <c r="T25" s="34" t="s">
        <v>132</v>
      </c>
      <c r="U25" s="34" t="s">
        <v>133</v>
      </c>
      <c r="AH25" s="91"/>
      <c r="AI25" s="91"/>
      <c r="AJ25" s="91"/>
      <c r="AK25" s="91"/>
      <c r="AL25" s="91"/>
      <c r="AM25" s="91"/>
      <c r="AN25" s="92" t="s">
        <v>180</v>
      </c>
      <c r="AO25" s="91"/>
      <c r="AP25" s="91"/>
      <c r="AR25" s="91"/>
      <c r="AS25" s="91"/>
      <c r="AT25" s="91"/>
      <c r="AU25" s="91"/>
      <c r="AV25" s="91"/>
      <c r="AW25" s="91"/>
    </row>
    <row r="26" spans="14:49" x14ac:dyDescent="0.25">
      <c r="N26" s="23" t="str">
        <f t="shared" si="0"/>
        <v>F11 DRÜCKEN FÜR INFO JE SPALTE</v>
      </c>
      <c r="O26" s="23" t="s">
        <v>215</v>
      </c>
      <c r="P26" s="23" t="s">
        <v>216</v>
      </c>
      <c r="R26" s="34">
        <f t="shared" si="1"/>
        <v>20</v>
      </c>
      <c r="S26" s="34" t="str">
        <f>IF(AND(Tabelle1[[#This Row],[D]]&lt;&gt;"",statSpr=1),T26,IF(AND(Tabelle1[[#This Row],[E]]&lt;&gt;"",statSpr=2),U26,""))</f>
        <v>Tatsächliche Durchgangshöhe unter Berücksichtigung zusätzlicher dekorativer Deckenerkleidungen (D)</v>
      </c>
      <c r="T26" s="34" t="s">
        <v>134</v>
      </c>
      <c r="U26" s="34" t="s">
        <v>135</v>
      </c>
      <c r="AH26" s="91"/>
      <c r="AI26" s="91"/>
      <c r="AJ26" s="91"/>
      <c r="AK26" s="91"/>
      <c r="AL26" s="91"/>
      <c r="AM26" s="91"/>
      <c r="AN26" s="91" t="s">
        <v>154</v>
      </c>
      <c r="AO26" s="91">
        <f>(AN22+AN23-AN24)+SQRT((2*(AN22-AN24)*(AN23-AN24)))</f>
        <v>40.944271909999159</v>
      </c>
      <c r="AP26" s="91"/>
      <c r="AR26" s="91"/>
      <c r="AS26" s="91"/>
      <c r="AT26" s="91"/>
      <c r="AU26" s="91"/>
      <c r="AV26" s="91"/>
      <c r="AW26" s="91"/>
    </row>
    <row r="27" spans="14:49" x14ac:dyDescent="0.25">
      <c r="N27" s="23" t="str">
        <f t="shared" si="0"/>
        <v>KEINE ABB. VERFÜGBAR</v>
      </c>
      <c r="O27" s="23" t="s">
        <v>80</v>
      </c>
      <c r="P27" s="23" t="s">
        <v>81</v>
      </c>
      <c r="R27" s="34">
        <f t="shared" si="1"/>
        <v>21</v>
      </c>
      <c r="S27" s="34" t="str">
        <f>IF(AND(Tabelle1[[#This Row],[D]]&lt;&gt;"",statSpr=1),T27,IF(AND(Tabelle1[[#This Row],[E]]&lt;&gt;"",statSpr=2),U27,""))</f>
        <v>Ausführung des Sülls: [A] = Schott montierte Variante (12: &gt;=170mm), Anlage ist vom Deck entkoppelt; [B] = Schwingungsdämpfer auf Deck montiert (12: 85-169mm); [C] = Montage ohne Schwingungsdämpfer direkt auf Deck (12: 8-84mm)</v>
      </c>
      <c r="T27" s="34" t="s">
        <v>241</v>
      </c>
      <c r="U27" s="34" t="s">
        <v>242</v>
      </c>
      <c r="AH27" s="91"/>
      <c r="AI27" s="91"/>
      <c r="AJ27" s="91"/>
      <c r="AK27" s="91"/>
      <c r="AL27" s="91"/>
      <c r="AM27" s="91"/>
      <c r="AN27" s="91" t="s">
        <v>155</v>
      </c>
      <c r="AO27" s="91">
        <f>AO26-AN24</f>
        <v>30.944271909999159</v>
      </c>
      <c r="AP27" s="91"/>
      <c r="AR27" s="91"/>
      <c r="AS27" s="91"/>
      <c r="AT27" s="91"/>
      <c r="AU27" s="91"/>
      <c r="AV27" s="91"/>
      <c r="AW27" s="91"/>
    </row>
    <row r="28" spans="14:49" x14ac:dyDescent="0.25">
      <c r="N28" s="23" t="str">
        <f t="shared" si="0"/>
        <v>SÜLL TYP</v>
      </c>
      <c r="O28" s="23" t="s">
        <v>82</v>
      </c>
      <c r="P28" s="23" t="s">
        <v>83</v>
      </c>
      <c r="R28" s="34">
        <f t="shared" si="1"/>
        <v>22</v>
      </c>
      <c r="S28" s="34" t="str">
        <f>IF(AND(Tabelle1[[#This Row],[D]]&lt;&gt;"",statSpr=1),T28,IF(AND(Tabelle1[[#This Row],[E]]&lt;&gt;"",statSpr=2),U28,""))</f>
        <v>Aufbauhöhe der Süllausführung (ohne dekorative Aufbauten B &amp; T) über Deck</v>
      </c>
      <c r="T28" s="34" t="s">
        <v>140</v>
      </c>
      <c r="U28" s="34" t="s">
        <v>141</v>
      </c>
      <c r="AH28" s="91"/>
      <c r="AI28" s="91"/>
      <c r="AJ28" s="91"/>
      <c r="AK28" s="91"/>
      <c r="AL28" s="91"/>
      <c r="AM28" s="91"/>
      <c r="AN28" s="91"/>
      <c r="AO28" s="91"/>
      <c r="AP28" s="91"/>
    </row>
    <row r="29" spans="14:49" x14ac:dyDescent="0.25">
      <c r="N29" s="23" t="str">
        <f t="shared" si="0"/>
        <v>PROJEKT INFORMATION</v>
      </c>
      <c r="O29" s="23" t="s">
        <v>86</v>
      </c>
      <c r="P29" s="23" t="s">
        <v>87</v>
      </c>
      <c r="R29" s="34">
        <f t="shared" si="1"/>
        <v>23</v>
      </c>
      <c r="S29" s="34" t="str">
        <f>IF(AND(Tabelle1[[#This Row],[D]]&lt;&gt;"",statSpr=1),T29,IF(AND(Tabelle1[[#This Row],[E]]&lt;&gt;"",statSpr=2),U29,""))</f>
        <v>Ausführung der Eckradien des Ausbrandes: Viertelkreis o. Rissfänger</v>
      </c>
      <c r="T29" s="34" t="s">
        <v>226</v>
      </c>
      <c r="U29" s="34" t="s">
        <v>227</v>
      </c>
      <c r="AH29" s="91"/>
      <c r="AI29" s="91"/>
      <c r="AJ29" s="91"/>
      <c r="AK29" s="91"/>
      <c r="AL29" s="91"/>
      <c r="AM29" s="91"/>
      <c r="AN29" s="91" t="s">
        <v>219</v>
      </c>
      <c r="AO29" s="91"/>
      <c r="AP29" s="91"/>
    </row>
    <row r="30" spans="14:49" x14ac:dyDescent="0.25">
      <c r="N30" s="23" t="str">
        <f t="shared" si="0"/>
        <v>PARAMETER</v>
      </c>
      <c r="O30" s="23" t="s">
        <v>88</v>
      </c>
      <c r="P30" s="23" t="s">
        <v>88</v>
      </c>
      <c r="R30" s="34">
        <f t="shared" si="1"/>
        <v>24</v>
      </c>
      <c r="S30" s="34" t="str">
        <f>IF(AND(Tabelle1[[#This Row],[D]]&lt;&gt;"",statSpr=1),T30,IF(AND(Tabelle1[[#This Row],[E]]&lt;&gt;"",statSpr=2),U30,""))</f>
        <v>Eckradius des Ausbrandes. 0 entspricht 90°. Der max. Radius für Typ [V] beträgt 90mm. Größere Radien sind ohne Rissfänger nur mit zusätzlichen Abdeckrahmen möglich (siehe Abdeckrahmen). Bei Ausführung eines Rissfängers können auch größere Radien realisiert werden.</v>
      </c>
      <c r="T30" s="34" t="s">
        <v>231</v>
      </c>
      <c r="U30" s="34" t="s">
        <v>232</v>
      </c>
      <c r="AH30" s="91"/>
      <c r="AI30" s="91"/>
      <c r="AJ30" s="91"/>
      <c r="AK30" s="91"/>
      <c r="AL30" s="91"/>
      <c r="AM30" s="91"/>
      <c r="AN30" s="91" t="s">
        <v>220</v>
      </c>
      <c r="AO30" s="91">
        <f>AO31-SQRT((AN23-AN24)*(2*AO31-AN23-AN24))</f>
        <v>20</v>
      </c>
      <c r="AP30" s="91"/>
    </row>
    <row r="31" spans="14:49" ht="15.6" x14ac:dyDescent="0.35">
      <c r="N31" s="23" t="str">
        <f t="shared" si="0"/>
        <v>Technische lichte Breite [CO1]</v>
      </c>
      <c r="O31" s="23" t="s">
        <v>109</v>
      </c>
      <c r="P31" s="23" t="s">
        <v>113</v>
      </c>
      <c r="R31" s="34">
        <f t="shared" si="1"/>
        <v>25</v>
      </c>
      <c r="S31" s="34" t="str">
        <f>IF(AND(Tabelle1[[#This Row],[D]]&lt;&gt;"",statSpr=1),T31,IF(AND(Tabelle1[[#This Row],[E]]&lt;&gt;"",statSpr=2),U31,""))</f>
        <v>Überstand des Abdeckrahmens. Wenn aus Festigkeitsgründen die Radien des Ausbrandes (Typ [V]) größer als 90mm sein müssen, kann der Ausbrand nicht größer ausgeführt werden ohne die freien Flächen nachträglich mit einem Überstand abzudecken. Der Parameter 20 ergibt sich aus dem Eckradius</v>
      </c>
      <c r="T31" s="34" t="s">
        <v>236</v>
      </c>
      <c r="U31" s="34" t="s">
        <v>237</v>
      </c>
      <c r="AH31" s="91"/>
      <c r="AI31" s="91"/>
      <c r="AJ31" s="91"/>
      <c r="AK31" s="91"/>
      <c r="AL31" s="91"/>
      <c r="AM31" s="91"/>
      <c r="AN31" s="91"/>
      <c r="AO31" s="91">
        <v>60</v>
      </c>
      <c r="AP31" s="91"/>
    </row>
    <row r="32" spans="14:49" x14ac:dyDescent="0.25">
      <c r="N32" s="23" t="str">
        <f t="shared" si="0"/>
        <v>Lichte Breite zwischen dekorativen Covern, ggf. identisch 1 [CO2]</v>
      </c>
      <c r="O32" s="23" t="s">
        <v>110</v>
      </c>
      <c r="P32" s="23" t="s">
        <v>114</v>
      </c>
      <c r="R32" s="34">
        <f t="shared" si="1"/>
        <v>26</v>
      </c>
      <c r="S32" s="34" t="str">
        <f>IF(AND(Tabelle1[[#This Row],[D]]&lt;&gt;"",statSpr=1),T32,IF(AND(Tabelle1[[#This Row],[E]]&lt;&gt;"",statSpr=2),U32,""))</f>
        <v>Luftspalt unter Türblatt (4-12mm)</v>
      </c>
      <c r="T32" s="34" t="s">
        <v>203</v>
      </c>
      <c r="U32" s="34" t="s">
        <v>204</v>
      </c>
    </row>
    <row r="33" spans="3:21" x14ac:dyDescent="0.25">
      <c r="N33" s="23" t="str">
        <f t="shared" si="0"/>
        <v>STÄRKE COVER</v>
      </c>
      <c r="O33" s="23" t="s">
        <v>91</v>
      </c>
      <c r="P33" s="23" t="s">
        <v>92</v>
      </c>
      <c r="R33" s="34">
        <f t="shared" si="1"/>
        <v>27</v>
      </c>
      <c r="S33" s="34" t="str">
        <f>IF(AND(Tabelle1[[#This Row],[D]]&lt;&gt;"",statSpr=1),T33,IF(AND(Tabelle1[[#This Row],[E]]&lt;&gt;"",statSpr=2),U33,""))</f>
        <v>Breite des Ausbrandes</v>
      </c>
      <c r="T33" s="34" t="s">
        <v>136</v>
      </c>
      <c r="U33" s="34" t="s">
        <v>64</v>
      </c>
    </row>
    <row r="34" spans="3:21" x14ac:dyDescent="0.25">
      <c r="N34" s="23" t="str">
        <f t="shared" si="0"/>
        <v>TATSÄCHLICHE LICHTE ÖFFNUNG</v>
      </c>
      <c r="O34" s="23" t="s">
        <v>97</v>
      </c>
      <c r="P34" s="23" t="s">
        <v>98</v>
      </c>
      <c r="R34" s="34">
        <f t="shared" si="1"/>
        <v>28</v>
      </c>
      <c r="S34" s="34" t="str">
        <f>IF(AND(Tabelle1[[#This Row],[D]]&lt;&gt;"",statSpr=1),T34,IF(AND(Tabelle1[[#This Row],[E]]&lt;&gt;"",statSpr=2),U34,""))</f>
        <v>Höhe des Ausbrandes</v>
      </c>
      <c r="T34" s="34" t="s">
        <v>137</v>
      </c>
      <c r="U34" s="34" t="s">
        <v>65</v>
      </c>
    </row>
    <row r="35" spans="3:21" x14ac:dyDescent="0.25">
      <c r="N35" s="23" t="str">
        <f t="shared" si="0"/>
        <v>TÜR</v>
      </c>
      <c r="O35" s="23" t="s">
        <v>33</v>
      </c>
      <c r="P35" s="23" t="s">
        <v>34</v>
      </c>
      <c r="R35" s="34">
        <f t="shared" si="1"/>
        <v>29</v>
      </c>
      <c r="S35" s="34" t="str">
        <f>IF(AND(Tabelle1[[#This Row],[D]]&lt;&gt;"",statSpr=1),T35,IF(AND(Tabelle1[[#This Row],[E]]&lt;&gt;"",statSpr=2),U35,""))</f>
        <v>DIN L: Tür montiert auf der Sichtseite, von rechts nach links schließend / DIN R: Tür montiert auf der Sichtseite, von links nach rechts schließend</v>
      </c>
      <c r="T35" s="34" t="s">
        <v>61</v>
      </c>
      <c r="U35" s="34" t="s">
        <v>62</v>
      </c>
    </row>
    <row r="36" spans="3:21" x14ac:dyDescent="0.25">
      <c r="N36" s="23" t="str">
        <f t="shared" si="0"/>
        <v>Lichte Breite des Stahl Ausschnittes [CO3]</v>
      </c>
      <c r="O36" s="23" t="s">
        <v>111</v>
      </c>
      <c r="P36" s="23" t="s">
        <v>112</v>
      </c>
      <c r="R36" s="34">
        <f t="shared" si="1"/>
        <v>30</v>
      </c>
      <c r="S36" s="34" t="str">
        <f>IF(AND(Tabelle1[[#This Row],[D]]&lt;&gt;"",statSpr=1),T36,IF(AND(Tabelle1[[#This Row],[E]]&lt;&gt;"",statSpr=2),U36,""))</f>
        <v>Einbaulage des Türsystems zum Schott, [G]: Glatte Seite des Schottes; [P]: Profilseite</v>
      </c>
      <c r="T36" s="34" t="s">
        <v>211</v>
      </c>
      <c r="U36" s="34" t="s">
        <v>212</v>
      </c>
    </row>
    <row r="37" spans="3:21" x14ac:dyDescent="0.25">
      <c r="C37" s="4" t="s">
        <v>0</v>
      </c>
      <c r="D37" s="1"/>
      <c r="N37" s="23" t="str">
        <f t="shared" si="0"/>
        <v>Abmessungen Haltewinkel, vertikal, Öffnungsseite</v>
      </c>
      <c r="O37" s="23" t="s">
        <v>148</v>
      </c>
      <c r="P37" s="23" t="s">
        <v>145</v>
      </c>
      <c r="R37" s="34">
        <f t="shared" si="1"/>
        <v>31</v>
      </c>
      <c r="S37" s="34" t="str">
        <f>IF(AND(Tabelle1[[#This Row],[D]]&lt;&gt;"",statSpr=1),T37,IF(AND(Tabelle1[[#This Row],[E]]&lt;&gt;"",statSpr=2),U37,""))</f>
        <v>Schlauchklappe, verschiebbare horiziontale Trennung des Türblattes.</v>
      </c>
      <c r="T37" s="34" t="s">
        <v>239</v>
      </c>
      <c r="U37" s="34" t="s">
        <v>240</v>
      </c>
    </row>
    <row r="38" spans="3:21" x14ac:dyDescent="0.25">
      <c r="N38" s="23" t="str">
        <f t="shared" si="0"/>
        <v>Position Befestigungswinkel, vertikal, Öffnungsseite</v>
      </c>
      <c r="O38" s="23" t="s">
        <v>149</v>
      </c>
      <c r="P38" s="23" t="s">
        <v>146</v>
      </c>
      <c r="R38" s="34">
        <f t="shared" si="1"/>
        <v>32</v>
      </c>
      <c r="S38" s="34" t="str">
        <f>IF(AND(Tabelle1[[#This Row],[D]]&lt;&gt;"",statSpr=1),T38,IF(AND(Tabelle1[[#This Row],[E]]&lt;&gt;"",statSpr=2),U38,""))</f>
        <v/>
      </c>
      <c r="T38" s="34"/>
      <c r="U38" s="34"/>
    </row>
    <row r="39" spans="3:21" x14ac:dyDescent="0.25">
      <c r="N39" s="23" t="str">
        <f t="shared" ref="N39:N56" si="2">IF(statSpr=1,O39,P39)</f>
        <v>Abmessungen Haltewinkel, vertikal, Schließseite</v>
      </c>
      <c r="O39" s="23" t="s">
        <v>150</v>
      </c>
      <c r="P39" s="23" t="s">
        <v>147</v>
      </c>
      <c r="R39" s="34">
        <f t="shared" ref="R39:R44" si="3">ROW()-6</f>
        <v>33</v>
      </c>
      <c r="S39" s="34" t="str">
        <f>IF(AND(Tabelle1[[#This Row],[D]]&lt;&gt;"",statSpr=1),T39,IF(AND(Tabelle1[[#This Row],[E]]&lt;&gt;"",statSpr=2),U39,""))</f>
        <v/>
      </c>
      <c r="T39" s="34"/>
      <c r="U39" s="34"/>
    </row>
    <row r="40" spans="3:21" x14ac:dyDescent="0.25">
      <c r="N40" s="23" t="str">
        <f t="shared" si="2"/>
        <v>Position Befestigungswinkel, vertikal, Schließseite</v>
      </c>
      <c r="O40" s="23" t="s">
        <v>151</v>
      </c>
      <c r="P40" s="23" t="s">
        <v>144</v>
      </c>
      <c r="R40" s="34">
        <f t="shared" si="3"/>
        <v>34</v>
      </c>
      <c r="S40" s="34" t="str">
        <f>IF(AND(Tabelle1[[#This Row],[D]]&lt;&gt;"",statSpr=1),T40,IF(AND(Tabelle1[[#This Row],[E]]&lt;&gt;"",statSpr=2),U40,""))</f>
        <v/>
      </c>
      <c r="T40" s="34"/>
      <c r="U40" s="34"/>
    </row>
    <row r="41" spans="3:21" x14ac:dyDescent="0.25">
      <c r="N41" s="23" t="str">
        <f t="shared" si="2"/>
        <v>Technische lichte Höhe, Abstand OK deko Schwelle - UK Deckenverkleidung [CH2]</v>
      </c>
      <c r="O41" s="23" t="s">
        <v>122</v>
      </c>
      <c r="P41" s="23" t="s">
        <v>123</v>
      </c>
      <c r="R41" s="34">
        <f t="shared" si="3"/>
        <v>35</v>
      </c>
      <c r="S41" s="34" t="str">
        <f>IF(AND(Tabelle1[[#This Row],[D]]&lt;&gt;"",statSpr=1),T41,IF(AND(Tabelle1[[#This Row],[E]]&lt;&gt;"",statSpr=2),U41,""))</f>
        <v/>
      </c>
      <c r="T41" s="34"/>
      <c r="U41" s="34"/>
    </row>
    <row r="42" spans="3:21" x14ac:dyDescent="0.25">
      <c r="N42" s="23" t="str">
        <f t="shared" si="2"/>
        <v>Lichte Höhe zwischen dekorativer Decke und Oberkante dekorativer Schwelle [CH2]</v>
      </c>
      <c r="O42" s="23" t="s">
        <v>121</v>
      </c>
      <c r="P42" s="23" t="s">
        <v>120</v>
      </c>
      <c r="R42" s="34">
        <f t="shared" si="3"/>
        <v>36</v>
      </c>
      <c r="S42" s="34" t="str">
        <f>IF(AND(Tabelle1[[#This Row],[D]]&lt;&gt;"",statSpr=1),T42,IF(AND(Tabelle1[[#This Row],[E]]&lt;&gt;"",statSpr=2),U42,""))</f>
        <v/>
      </c>
      <c r="T42" s="34"/>
      <c r="U42" s="34"/>
    </row>
    <row r="43" spans="3:21" x14ac:dyDescent="0.25">
      <c r="N43" s="23" t="str">
        <f t="shared" si="2"/>
        <v>Höhe dekorativer Aufbau der Schwelle</v>
      </c>
      <c r="O43" s="23" t="s">
        <v>124</v>
      </c>
      <c r="P43" s="23" t="s">
        <v>126</v>
      </c>
      <c r="R43" s="34">
        <f t="shared" si="3"/>
        <v>37</v>
      </c>
      <c r="S43" s="34" t="str">
        <f>IF(AND(Tabelle1[[#This Row],[D]]&lt;&gt;"",statSpr=1),T43,IF(AND(Tabelle1[[#This Row],[E]]&lt;&gt;"",statSpr=2),U43,""))</f>
        <v/>
      </c>
      <c r="T43" s="34"/>
      <c r="U43" s="34"/>
    </row>
    <row r="44" spans="3:21" x14ac:dyDescent="0.25">
      <c r="N44" s="23" t="str">
        <f t="shared" si="2"/>
        <v>Höhe Unterbau Schwelle</v>
      </c>
      <c r="O44" s="23" t="s">
        <v>125</v>
      </c>
      <c r="P44" s="23" t="s">
        <v>127</v>
      </c>
      <c r="R44" s="34">
        <f t="shared" si="3"/>
        <v>38</v>
      </c>
      <c r="S44" s="34" t="str">
        <f>IF(AND(Tabelle1[[#This Row],[D]]&lt;&gt;"",statSpr=1),T44,IF(AND(Tabelle1[[#This Row],[E]]&lt;&gt;"",statSpr=2),U44,""))</f>
        <v/>
      </c>
      <c r="T44" s="34"/>
      <c r="U44" s="34"/>
    </row>
    <row r="45" spans="3:21" x14ac:dyDescent="0.25">
      <c r="N45" s="23" t="str">
        <f t="shared" si="2"/>
        <v>Höhe Schwelle OK über Deck</v>
      </c>
      <c r="O45" s="23" t="s">
        <v>138</v>
      </c>
      <c r="P45" s="23" t="s">
        <v>139</v>
      </c>
      <c r="R45" s="34">
        <f t="shared" ref="R45:R51" si="4">ROW()-6</f>
        <v>39</v>
      </c>
      <c r="S45" s="34" t="str">
        <f>IF(AND(Tabelle1[[#This Row],[D]]&lt;&gt;"",statSpr=1),T45,IF(AND(Tabelle1[[#This Row],[E]]&lt;&gt;"",statSpr=2),U45,""))</f>
        <v/>
      </c>
      <c r="T45" s="34"/>
      <c r="U45" s="34"/>
    </row>
    <row r="46" spans="3:21" x14ac:dyDescent="0.25">
      <c r="N46" s="23" t="str">
        <f t="shared" si="2"/>
        <v>HÖHE SCHWELLE</v>
      </c>
      <c r="O46" s="23" t="s">
        <v>142</v>
      </c>
      <c r="P46" s="23" t="s">
        <v>143</v>
      </c>
      <c r="R46" s="34">
        <f t="shared" si="4"/>
        <v>40</v>
      </c>
      <c r="S46" s="34" t="str">
        <f>IF(AND(Tabelle1[[#This Row],[D]]&lt;&gt;"",statSpr=1),T46,IF(AND(Tabelle1[[#This Row],[E]]&lt;&gt;"",statSpr=2),U46,""))</f>
        <v/>
      </c>
      <c r="T46" s="34"/>
      <c r="U46" s="34"/>
    </row>
    <row r="47" spans="3:21" x14ac:dyDescent="0.25">
      <c r="N47" s="23" t="str">
        <f t="shared" si="2"/>
        <v>Abmessungen Haltewinkel, horizontal (oben)</v>
      </c>
      <c r="O47" s="23" t="s">
        <v>106</v>
      </c>
      <c r="P47" s="23" t="s">
        <v>107</v>
      </c>
      <c r="R47" s="34">
        <f t="shared" si="4"/>
        <v>41</v>
      </c>
      <c r="S47" s="34" t="str">
        <f>IF(AND(Tabelle1[[#This Row],[D]]&lt;&gt;"",statSpr=1),T47,IF(AND(Tabelle1[[#This Row],[E]]&lt;&gt;"",statSpr=2),U47,""))</f>
        <v/>
      </c>
      <c r="T47" s="34"/>
      <c r="U47" s="34"/>
    </row>
    <row r="48" spans="3:21" x14ac:dyDescent="0.25">
      <c r="N48" s="23" t="str">
        <f t="shared" si="2"/>
        <v>Position Befestigungswinkel, horizontal (oben)</v>
      </c>
      <c r="O48" s="23" t="s">
        <v>105</v>
      </c>
      <c r="P48" s="23" t="s">
        <v>108</v>
      </c>
      <c r="R48" s="34">
        <f t="shared" si="4"/>
        <v>42</v>
      </c>
      <c r="S48" s="34" t="str">
        <f>IF(AND(Tabelle1[[#This Row],[D]]&lt;&gt;"",statSpr=1),T48,IF(AND(Tabelle1[[#This Row],[E]]&lt;&gt;"",statSpr=2),U48,""))</f>
        <v/>
      </c>
      <c r="T48" s="34"/>
      <c r="U48" s="34"/>
    </row>
    <row r="49" spans="14:21" x14ac:dyDescent="0.25">
      <c r="N49" s="23" t="str">
        <f t="shared" si="2"/>
        <v>LichteHöhe des Stahl Ausschnittes [CH3]</v>
      </c>
      <c r="O49" s="23" t="s">
        <v>152</v>
      </c>
      <c r="P49" s="23" t="s">
        <v>153</v>
      </c>
      <c r="R49" s="34">
        <f t="shared" si="4"/>
        <v>43</v>
      </c>
      <c r="S49" s="34" t="str">
        <f>IF(AND(Tabelle1[[#This Row],[D]]&lt;&gt;"",statSpr=1),T49,IF(AND(Tabelle1[[#This Row],[E]]&lt;&gt;"",statSpr=2),U49,""))</f>
        <v/>
      </c>
      <c r="T49" s="34"/>
      <c r="U49" s="34"/>
    </row>
    <row r="50" spans="14:21" x14ac:dyDescent="0.25">
      <c r="N50" s="23" t="str">
        <f t="shared" si="2"/>
        <v>AUSBRAND RADIUS</v>
      </c>
      <c r="O50" s="23" t="s">
        <v>181</v>
      </c>
      <c r="P50" s="23" t="s">
        <v>182</v>
      </c>
      <c r="R50" s="34">
        <f t="shared" si="4"/>
        <v>44</v>
      </c>
      <c r="S50" s="34" t="str">
        <f>IF(AND(Tabelle1[[#This Row],[D]]&lt;&gt;"",statSpr=1),T50,IF(AND(Tabelle1[[#This Row],[E]]&lt;&gt;"",statSpr=2),U50,""))</f>
        <v/>
      </c>
      <c r="T50" s="34"/>
      <c r="U50" s="34"/>
    </row>
    <row r="51" spans="14:21" x14ac:dyDescent="0.25">
      <c r="N51" s="23" t="str">
        <f t="shared" si="2"/>
        <v>Eckradius des Ausbrandes. 0 entspricht 90° bzw. Rissfänger.</v>
      </c>
      <c r="O51" s="23" t="s">
        <v>183</v>
      </c>
      <c r="P51" s="23" t="s">
        <v>199</v>
      </c>
      <c r="R51" s="34">
        <f t="shared" si="4"/>
        <v>45</v>
      </c>
      <c r="S51" s="34" t="str">
        <f>IF(AND(Tabelle1[[#This Row],[D]]&lt;&gt;"",statSpr=1),T51,IF(AND(Tabelle1[[#This Row],[E]]&lt;&gt;"",statSpr=2),U51,""))</f>
        <v/>
      </c>
      <c r="T51" s="34"/>
      <c r="U51" s="34"/>
    </row>
    <row r="52" spans="14:21" x14ac:dyDescent="0.25">
      <c r="N52" s="23" t="str">
        <f t="shared" si="2"/>
        <v>TÜRSPALT</v>
      </c>
      <c r="O52" s="23" t="s">
        <v>201</v>
      </c>
      <c r="P52" s="23" t="s">
        <v>202</v>
      </c>
      <c r="R52" s="34">
        <f t="shared" ref="R52:R55" si="5">ROW()-6</f>
        <v>46</v>
      </c>
      <c r="S52" s="34" t="str">
        <f>IF(AND(Tabelle1[[#This Row],[D]]&lt;&gt;"",statSpr=1),T52,IF(AND(Tabelle1[[#This Row],[E]]&lt;&gt;"",statSpr=2),U52,""))</f>
        <v/>
      </c>
      <c r="T52" s="34"/>
      <c r="U52" s="34"/>
    </row>
    <row r="53" spans="14:21" x14ac:dyDescent="0.25">
      <c r="N53" s="23" t="str">
        <f t="shared" si="2"/>
        <v>Türspalt unter dem Türblatt, max. 12mm</v>
      </c>
      <c r="O53" s="23" t="s">
        <v>205</v>
      </c>
      <c r="P53" s="23" t="s">
        <v>206</v>
      </c>
      <c r="R53" s="34">
        <f t="shared" si="5"/>
        <v>47</v>
      </c>
      <c r="S53" s="34" t="str">
        <f>IF(AND(Tabelle1[[#This Row],[D]]&lt;&gt;"",statSpr=1),T53,IF(AND(Tabelle1[[#This Row],[E]]&lt;&gt;"",statSpr=2),U53,""))</f>
        <v/>
      </c>
      <c r="T53" s="34"/>
      <c r="U53" s="34"/>
    </row>
    <row r="54" spans="14:21" x14ac:dyDescent="0.25">
      <c r="N54" s="23" t="str">
        <f t="shared" si="2"/>
        <v>EINBAULAGE</v>
      </c>
      <c r="O54" s="23" t="s">
        <v>207</v>
      </c>
      <c r="P54" s="23" t="s">
        <v>208</v>
      </c>
      <c r="R54" s="34">
        <f t="shared" si="5"/>
        <v>48</v>
      </c>
      <c r="S54" s="34" t="str">
        <f>IF(AND(Tabelle1[[#This Row],[D]]&lt;&gt;"",statSpr=1),T54,IF(AND(Tabelle1[[#This Row],[E]]&lt;&gt;"",statSpr=2),U54,""))</f>
        <v/>
      </c>
      <c r="T54" s="34"/>
      <c r="U54" s="34"/>
    </row>
    <row r="55" spans="14:21" x14ac:dyDescent="0.25">
      <c r="N55" s="23" t="str">
        <f t="shared" si="2"/>
        <v>SCHLAUCH KLAPPE</v>
      </c>
      <c r="O55" s="23" t="s">
        <v>222</v>
      </c>
      <c r="P55" s="23" t="s">
        <v>209</v>
      </c>
      <c r="R55" s="34">
        <f t="shared" si="5"/>
        <v>49</v>
      </c>
      <c r="S55" s="34" t="str">
        <f>IF(AND(Tabelle1[[#This Row],[D]]&lt;&gt;"",statSpr=1),T55,IF(AND(Tabelle1[[#This Row],[E]]&lt;&gt;"",statSpr=2),U55,""))</f>
        <v/>
      </c>
      <c r="T55" s="34"/>
      <c r="U55" s="34"/>
    </row>
    <row r="56" spans="14:21" x14ac:dyDescent="0.25">
      <c r="N56" s="23" t="str">
        <f t="shared" si="2"/>
        <v>Mittenabstand (c/c) Fixierung, horizontal</v>
      </c>
      <c r="O56" s="23" t="s">
        <v>223</v>
      </c>
      <c r="P56" s="23" t="s">
        <v>225</v>
      </c>
      <c r="R56" s="34">
        <f>ROW()-6</f>
        <v>50</v>
      </c>
      <c r="S56" s="34" t="str">
        <f>IF(AND(Tabelle1[[#This Row],[D]]&lt;&gt;"",statSpr=1),T56,IF(AND(Tabelle1[[#This Row],[E]]&lt;&gt;"",statSpr=2),U56,""))</f>
        <v/>
      </c>
      <c r="T56" s="34"/>
      <c r="U56" s="34"/>
    </row>
    <row r="57" spans="14:21" x14ac:dyDescent="0.25">
      <c r="N57" s="23" t="str">
        <f t="shared" ref="N57:N93" si="6">IF(statSpr=1,O57,P57)</f>
        <v>Mittenabstand (c/c) Fixierung, vertikal</v>
      </c>
      <c r="O57" s="23" t="s">
        <v>224</v>
      </c>
      <c r="P57" s="23"/>
    </row>
    <row r="58" spans="14:21" x14ac:dyDescent="0.25">
      <c r="N58" s="23" t="str">
        <f t="shared" si="6"/>
        <v>TYP AUSBRAND</v>
      </c>
      <c r="O58" s="23" t="s">
        <v>228</v>
      </c>
      <c r="P58" s="23" t="s">
        <v>229</v>
      </c>
    </row>
    <row r="59" spans="14:21" x14ac:dyDescent="0.25">
      <c r="N59" s="23" t="str">
        <f t="shared" si="6"/>
        <v>Überstand des Abdeckrahmens</v>
      </c>
      <c r="O59" s="23" t="s">
        <v>233</v>
      </c>
      <c r="P59" s="23" t="s">
        <v>234</v>
      </c>
    </row>
    <row r="60" spans="14:21" x14ac:dyDescent="0.25">
      <c r="N60" s="23" t="str">
        <f t="shared" si="6"/>
        <v>ÜBERSTAND ABDECKRAHMEN</v>
      </c>
      <c r="O60" s="23" t="s">
        <v>235</v>
      </c>
      <c r="P60" s="23"/>
    </row>
    <row r="61" spans="14:21" x14ac:dyDescent="0.25">
      <c r="N61" s="23">
        <f t="shared" si="6"/>
        <v>0</v>
      </c>
      <c r="O61" s="23"/>
      <c r="P61" s="23"/>
    </row>
    <row r="62" spans="14:21" x14ac:dyDescent="0.25">
      <c r="N62" s="23">
        <f t="shared" si="6"/>
        <v>0</v>
      </c>
      <c r="O62" s="23"/>
      <c r="P62" s="23"/>
    </row>
    <row r="63" spans="14:21" x14ac:dyDescent="0.25">
      <c r="N63" s="23">
        <f t="shared" si="6"/>
        <v>0</v>
      </c>
      <c r="O63" s="23"/>
      <c r="P63" s="23"/>
    </row>
    <row r="64" spans="14:21" x14ac:dyDescent="0.25">
      <c r="N64" s="23">
        <f t="shared" si="6"/>
        <v>0</v>
      </c>
      <c r="O64" s="23"/>
      <c r="P64" s="23"/>
    </row>
    <row r="65" spans="14:16" x14ac:dyDescent="0.25">
      <c r="N65" s="23">
        <f t="shared" si="6"/>
        <v>0</v>
      </c>
      <c r="O65" s="23"/>
      <c r="P65" s="23"/>
    </row>
    <row r="66" spans="14:16" x14ac:dyDescent="0.25">
      <c r="N66" s="23">
        <f t="shared" si="6"/>
        <v>0</v>
      </c>
      <c r="O66" s="23"/>
      <c r="P66" s="23"/>
    </row>
    <row r="67" spans="14:16" x14ac:dyDescent="0.25">
      <c r="N67" s="23">
        <f t="shared" si="6"/>
        <v>0</v>
      </c>
      <c r="O67" s="23"/>
      <c r="P67" s="23"/>
    </row>
    <row r="68" spans="14:16" x14ac:dyDescent="0.25">
      <c r="N68" s="23">
        <f t="shared" si="6"/>
        <v>0</v>
      </c>
      <c r="O68" s="23"/>
      <c r="P68" s="23"/>
    </row>
    <row r="69" spans="14:16" x14ac:dyDescent="0.25">
      <c r="N69" s="23">
        <f t="shared" si="6"/>
        <v>0</v>
      </c>
      <c r="O69" s="23"/>
      <c r="P69" s="23"/>
    </row>
    <row r="70" spans="14:16" x14ac:dyDescent="0.25">
      <c r="N70" s="23">
        <f t="shared" si="6"/>
        <v>0</v>
      </c>
      <c r="O70" s="23"/>
      <c r="P70" s="23"/>
    </row>
    <row r="71" spans="14:16" x14ac:dyDescent="0.25">
      <c r="N71" s="23">
        <f t="shared" si="6"/>
        <v>0</v>
      </c>
      <c r="O71" s="23"/>
      <c r="P71" s="23"/>
    </row>
    <row r="72" spans="14:16" x14ac:dyDescent="0.25">
      <c r="N72" s="23">
        <f t="shared" si="6"/>
        <v>0</v>
      </c>
      <c r="O72" s="23"/>
      <c r="P72" s="23"/>
    </row>
    <row r="73" spans="14:16" x14ac:dyDescent="0.25">
      <c r="N73" s="23">
        <f t="shared" si="6"/>
        <v>0</v>
      </c>
      <c r="O73" s="23"/>
      <c r="P73" s="23"/>
    </row>
    <row r="74" spans="14:16" x14ac:dyDescent="0.25">
      <c r="N74" s="23">
        <f t="shared" si="6"/>
        <v>0</v>
      </c>
      <c r="O74" s="23"/>
      <c r="P74" s="23"/>
    </row>
    <row r="75" spans="14:16" x14ac:dyDescent="0.25">
      <c r="N75" s="23">
        <f t="shared" si="6"/>
        <v>0</v>
      </c>
      <c r="O75" s="23"/>
      <c r="P75" s="23"/>
    </row>
    <row r="76" spans="14:16" x14ac:dyDescent="0.25">
      <c r="N76" s="23">
        <f t="shared" si="6"/>
        <v>0</v>
      </c>
      <c r="O76" s="23"/>
      <c r="P76" s="23"/>
    </row>
    <row r="77" spans="14:16" x14ac:dyDescent="0.25">
      <c r="N77" s="23">
        <f t="shared" si="6"/>
        <v>0</v>
      </c>
      <c r="O77" s="23"/>
      <c r="P77" s="23"/>
    </row>
    <row r="78" spans="14:16" x14ac:dyDescent="0.25">
      <c r="N78" s="23">
        <f t="shared" si="6"/>
        <v>0</v>
      </c>
      <c r="O78" s="23"/>
      <c r="P78" s="23"/>
    </row>
    <row r="79" spans="14:16" x14ac:dyDescent="0.25">
      <c r="N79" s="23">
        <f t="shared" si="6"/>
        <v>0</v>
      </c>
      <c r="O79" s="23"/>
      <c r="P79" s="23"/>
    </row>
    <row r="80" spans="14:16" x14ac:dyDescent="0.25">
      <c r="N80" s="23">
        <f t="shared" si="6"/>
        <v>0</v>
      </c>
      <c r="O80" s="23"/>
      <c r="P80" s="23"/>
    </row>
    <row r="81" spans="14:16" x14ac:dyDescent="0.25">
      <c r="N81" s="23">
        <f t="shared" si="6"/>
        <v>0</v>
      </c>
      <c r="O81" s="23"/>
      <c r="P81" s="23"/>
    </row>
    <row r="82" spans="14:16" x14ac:dyDescent="0.25">
      <c r="N82" s="23">
        <f t="shared" si="6"/>
        <v>0</v>
      </c>
      <c r="O82" s="23"/>
      <c r="P82" s="23"/>
    </row>
    <row r="83" spans="14:16" x14ac:dyDescent="0.25">
      <c r="N83" s="23">
        <f t="shared" si="6"/>
        <v>0</v>
      </c>
      <c r="O83" s="23"/>
      <c r="P83" s="23"/>
    </row>
    <row r="84" spans="14:16" x14ac:dyDescent="0.25">
      <c r="N84" s="23">
        <f t="shared" si="6"/>
        <v>0</v>
      </c>
      <c r="O84" s="23"/>
      <c r="P84" s="23"/>
    </row>
    <row r="85" spans="14:16" x14ac:dyDescent="0.25">
      <c r="N85" s="23">
        <f t="shared" si="6"/>
        <v>0</v>
      </c>
      <c r="O85" s="23"/>
      <c r="P85" s="23"/>
    </row>
    <row r="86" spans="14:16" x14ac:dyDescent="0.25">
      <c r="N86" s="23">
        <f t="shared" si="6"/>
        <v>0</v>
      </c>
      <c r="O86" s="23"/>
      <c r="P86" s="23"/>
    </row>
    <row r="87" spans="14:16" x14ac:dyDescent="0.25">
      <c r="N87" s="23">
        <f t="shared" si="6"/>
        <v>0</v>
      </c>
      <c r="O87" s="23"/>
      <c r="P87" s="23"/>
    </row>
    <row r="88" spans="14:16" x14ac:dyDescent="0.25">
      <c r="N88" s="23">
        <f t="shared" si="6"/>
        <v>0</v>
      </c>
      <c r="O88" s="23"/>
      <c r="P88" s="23"/>
    </row>
    <row r="89" spans="14:16" x14ac:dyDescent="0.25">
      <c r="N89" s="23">
        <f t="shared" si="6"/>
        <v>0</v>
      </c>
      <c r="O89" s="23"/>
      <c r="P89" s="23"/>
    </row>
    <row r="90" spans="14:16" x14ac:dyDescent="0.25">
      <c r="N90" s="23">
        <f t="shared" si="6"/>
        <v>0</v>
      </c>
      <c r="O90" s="23"/>
      <c r="P90" s="23"/>
    </row>
    <row r="91" spans="14:16" x14ac:dyDescent="0.25">
      <c r="N91" s="23">
        <f t="shared" si="6"/>
        <v>0</v>
      </c>
      <c r="O91" s="23"/>
      <c r="P91" s="23"/>
    </row>
    <row r="92" spans="14:16" x14ac:dyDescent="0.25">
      <c r="N92" s="23">
        <f t="shared" si="6"/>
        <v>0</v>
      </c>
      <c r="O92" s="23"/>
      <c r="P92" s="23"/>
    </row>
    <row r="93" spans="14:16" x14ac:dyDescent="0.25">
      <c r="N93" s="23">
        <f t="shared" si="6"/>
        <v>0</v>
      </c>
      <c r="O93" s="23"/>
      <c r="P93" s="23"/>
    </row>
    <row r="94" spans="14:16" x14ac:dyDescent="0.25">
      <c r="N94" s="23">
        <f t="shared" ref="N94:N99" si="7">IF(statSpr=1,O94,P94)</f>
        <v>0</v>
      </c>
      <c r="O94" s="23"/>
      <c r="P94" s="23"/>
    </row>
    <row r="95" spans="14:16" x14ac:dyDescent="0.25">
      <c r="N95" s="23">
        <f t="shared" si="7"/>
        <v>0</v>
      </c>
      <c r="O95" s="23"/>
      <c r="P95" s="23"/>
    </row>
    <row r="96" spans="14:16" x14ac:dyDescent="0.25">
      <c r="N96" s="23">
        <f t="shared" si="7"/>
        <v>0</v>
      </c>
      <c r="O96" s="23"/>
      <c r="P96" s="23"/>
    </row>
    <row r="97" spans="14:23" x14ac:dyDescent="0.25">
      <c r="N97" s="23">
        <f t="shared" si="7"/>
        <v>0</v>
      </c>
      <c r="O97" s="23"/>
      <c r="P97" s="23"/>
    </row>
    <row r="98" spans="14:23" x14ac:dyDescent="0.25">
      <c r="N98" s="23">
        <f t="shared" si="7"/>
        <v>0</v>
      </c>
      <c r="O98" s="23"/>
      <c r="P98" s="23"/>
    </row>
    <row r="99" spans="14:23" x14ac:dyDescent="0.25">
      <c r="N99" s="23">
        <f t="shared" si="7"/>
        <v>0</v>
      </c>
      <c r="O99" s="23"/>
      <c r="P99" s="23"/>
    </row>
    <row r="100" spans="14:23" ht="113.25" customHeight="1" x14ac:dyDescent="0.25">
      <c r="V100" s="37">
        <v>1</v>
      </c>
      <c r="W100" s="44" t="str">
        <f>$N$27</f>
        <v>KEINE ABB. VERFÜGBAR</v>
      </c>
    </row>
    <row r="101" spans="14:23" ht="113.25" customHeight="1" x14ac:dyDescent="0.25">
      <c r="V101" s="37">
        <v>2</v>
      </c>
      <c r="W101" s="44" t="str">
        <f t="shared" ref="W101:W110" si="8">$N$27</f>
        <v>KEINE ABB. VERFÜGBAR</v>
      </c>
    </row>
    <row r="102" spans="14:23" ht="113.25" customHeight="1" x14ac:dyDescent="0.25">
      <c r="V102" s="37">
        <v>3</v>
      </c>
      <c r="W102" s="44" t="str">
        <f t="shared" si="8"/>
        <v>KEINE ABB. VERFÜGBAR</v>
      </c>
    </row>
    <row r="103" spans="14:23" ht="113.25" customHeight="1" x14ac:dyDescent="0.25">
      <c r="V103" s="37">
        <v>4</v>
      </c>
      <c r="W103" s="44" t="str">
        <f t="shared" si="8"/>
        <v>KEINE ABB. VERFÜGBAR</v>
      </c>
    </row>
    <row r="104" spans="14:23" ht="113.25" customHeight="1" x14ac:dyDescent="0.25">
      <c r="V104" s="37">
        <v>5</v>
      </c>
      <c r="W104" s="44" t="str">
        <f t="shared" si="8"/>
        <v>KEINE ABB. VERFÜGBAR</v>
      </c>
    </row>
    <row r="105" spans="14:23" ht="113.25" customHeight="1" x14ac:dyDescent="0.25">
      <c r="V105" s="37">
        <v>6</v>
      </c>
      <c r="W105" s="44" t="str">
        <f t="shared" si="8"/>
        <v>KEINE ABB. VERFÜGBAR</v>
      </c>
    </row>
    <row r="106" spans="14:23" ht="113.25" customHeight="1" x14ac:dyDescent="0.25">
      <c r="V106" s="37">
        <v>7</v>
      </c>
      <c r="W106" s="44" t="str">
        <f t="shared" si="8"/>
        <v>KEINE ABB. VERFÜGBAR</v>
      </c>
    </row>
    <row r="107" spans="14:23" ht="113.25" customHeight="1" x14ac:dyDescent="0.25">
      <c r="V107" s="37">
        <v>8</v>
      </c>
      <c r="W107" s="44" t="str">
        <f t="shared" si="8"/>
        <v>KEINE ABB. VERFÜGBAR</v>
      </c>
    </row>
    <row r="108" spans="14:23" ht="113.25" customHeight="1" x14ac:dyDescent="0.25">
      <c r="V108" s="37">
        <v>9</v>
      </c>
      <c r="W108" s="44" t="str">
        <f t="shared" si="8"/>
        <v>KEINE ABB. VERFÜGBAR</v>
      </c>
    </row>
    <row r="109" spans="14:23" ht="113.25" customHeight="1" x14ac:dyDescent="0.25">
      <c r="V109" s="37">
        <v>10</v>
      </c>
      <c r="W109" s="44" t="str">
        <f t="shared" si="8"/>
        <v>KEINE ABB. VERFÜGBAR</v>
      </c>
    </row>
    <row r="110" spans="14:23" ht="113.25" customHeight="1" x14ac:dyDescent="0.25">
      <c r="V110" s="37">
        <v>11</v>
      </c>
      <c r="W110" s="44" t="str">
        <f t="shared" si="8"/>
        <v>KEINE ABB. VERFÜGBAR</v>
      </c>
    </row>
    <row r="111" spans="14:23" ht="113.25" customHeight="1" x14ac:dyDescent="0.25">
      <c r="V111" s="37">
        <v>12</v>
      </c>
      <c r="W111" s="44" t="e" vm="1">
        <v>#VALUE!</v>
      </c>
    </row>
    <row r="112" spans="14:23" ht="113.25" customHeight="1" x14ac:dyDescent="0.25">
      <c r="V112" s="37">
        <v>13</v>
      </c>
      <c r="W112" s="44" t="e" vm="2">
        <v>#VALUE!</v>
      </c>
    </row>
    <row r="113" spans="22:23" ht="113.25" customHeight="1" x14ac:dyDescent="0.25">
      <c r="V113" s="37">
        <v>14</v>
      </c>
      <c r="W113" s="44" t="e" vm="3">
        <v>#VALUE!</v>
      </c>
    </row>
    <row r="114" spans="22:23" ht="113.25" customHeight="1" x14ac:dyDescent="0.25">
      <c r="V114" s="37">
        <v>15</v>
      </c>
      <c r="W114" s="44" t="e" vm="3">
        <v>#VALUE!</v>
      </c>
    </row>
    <row r="115" spans="22:23" ht="113.25" customHeight="1" x14ac:dyDescent="0.25">
      <c r="V115" s="37">
        <v>16</v>
      </c>
      <c r="W115" s="44" t="e" vm="4">
        <v>#VALUE!</v>
      </c>
    </row>
    <row r="116" spans="22:23" ht="113.25" customHeight="1" x14ac:dyDescent="0.25">
      <c r="V116" s="37">
        <v>17</v>
      </c>
      <c r="W116" s="44" t="e" vm="4">
        <v>#VALUE!</v>
      </c>
    </row>
    <row r="117" spans="22:23" ht="113.25" customHeight="1" x14ac:dyDescent="0.25">
      <c r="V117" s="37">
        <v>18</v>
      </c>
      <c r="W117" s="77" t="e" vm="5">
        <v>#VALUE!</v>
      </c>
    </row>
    <row r="118" spans="22:23" ht="113.25" customHeight="1" x14ac:dyDescent="0.25">
      <c r="V118" s="37">
        <v>19</v>
      </c>
      <c r="W118" s="44" t="e" vm="1">
        <v>#VALUE!</v>
      </c>
    </row>
    <row r="119" spans="22:23" ht="113.25" customHeight="1" x14ac:dyDescent="0.25">
      <c r="V119" s="37">
        <v>20</v>
      </c>
      <c r="W119" s="44" t="e" vm="2">
        <v>#VALUE!</v>
      </c>
    </row>
    <row r="120" spans="22:23" ht="113.25" customHeight="1" x14ac:dyDescent="0.25">
      <c r="V120" s="37">
        <v>21</v>
      </c>
      <c r="W120" s="44" t="e" vm="6">
        <v>#VALUE!</v>
      </c>
    </row>
    <row r="121" spans="22:23" ht="112.8" customHeight="1" x14ac:dyDescent="0.25">
      <c r="V121" s="37">
        <v>22</v>
      </c>
      <c r="W121" s="44" t="e" vm="6">
        <v>#VALUE!</v>
      </c>
    </row>
    <row r="122" spans="22:23" ht="113.25" customHeight="1" x14ac:dyDescent="0.25">
      <c r="V122" s="37">
        <v>23</v>
      </c>
      <c r="W122" s="44" t="e" vm="7">
        <v>#VALUE!</v>
      </c>
    </row>
    <row r="123" spans="22:23" ht="113.25" customHeight="1" x14ac:dyDescent="0.25">
      <c r="V123" s="37">
        <v>24</v>
      </c>
      <c r="W123" s="44" t="e" vm="8">
        <v>#VALUE!</v>
      </c>
    </row>
    <row r="124" spans="22:23" ht="113.25" customHeight="1" x14ac:dyDescent="0.25">
      <c r="V124" s="37">
        <v>25</v>
      </c>
      <c r="W124" s="44" t="e" vm="9">
        <v>#VALUE!</v>
      </c>
    </row>
    <row r="125" spans="22:23" ht="113.25" customHeight="1" x14ac:dyDescent="0.25">
      <c r="V125" s="37">
        <v>26</v>
      </c>
      <c r="W125" s="77" t="e" vm="10">
        <v>#VALUE!</v>
      </c>
    </row>
    <row r="126" spans="22:23" ht="113.25" customHeight="1" x14ac:dyDescent="0.25">
      <c r="V126" s="37">
        <v>27</v>
      </c>
      <c r="W126" s="44" t="e" vm="11">
        <v>#VALUE!</v>
      </c>
    </row>
    <row r="127" spans="22:23" ht="112.8" customHeight="1" x14ac:dyDescent="0.25">
      <c r="V127" s="37">
        <v>28</v>
      </c>
      <c r="W127" s="77" t="e" vm="12">
        <v>#VALUE!</v>
      </c>
    </row>
    <row r="128" spans="22:23" ht="112.8" customHeight="1" x14ac:dyDescent="0.25">
      <c r="V128" s="37">
        <v>29</v>
      </c>
      <c r="W128" s="77" t="e" vm="13">
        <v>#VALUE!</v>
      </c>
    </row>
    <row r="129" spans="22:23" ht="112.8" customHeight="1" x14ac:dyDescent="0.25">
      <c r="V129" s="37">
        <v>30</v>
      </c>
      <c r="W129" s="4" t="e" vm="14">
        <v>#VALUE!</v>
      </c>
    </row>
    <row r="130" spans="22:23" ht="112.8" customHeight="1" x14ac:dyDescent="0.25">
      <c r="V130" s="37">
        <v>31</v>
      </c>
      <c r="W130" s="4" t="e" vm="15">
        <v>#VALUE!</v>
      </c>
    </row>
    <row r="131" spans="22:23" ht="112.8" customHeight="1" x14ac:dyDescent="0.25">
      <c r="V131" s="37">
        <v>32</v>
      </c>
    </row>
    <row r="132" spans="22:23" ht="112.8" customHeight="1" x14ac:dyDescent="0.25">
      <c r="V132" s="37">
        <v>33</v>
      </c>
    </row>
    <row r="133" spans="22:23" ht="112.8" customHeight="1" x14ac:dyDescent="0.25">
      <c r="V133" s="37">
        <v>34</v>
      </c>
    </row>
    <row r="134" spans="22:23" ht="112.8" customHeight="1" x14ac:dyDescent="0.25">
      <c r="V134" s="37">
        <v>99</v>
      </c>
      <c r="W134" s="44" t="str">
        <f>N26</f>
        <v>F11 DRÜCKEN FÜR INFO JE SPALTE</v>
      </c>
    </row>
  </sheetData>
  <pageMargins left="0.7" right="0.7" top="0.78740157499999996" bottom="0.78740157499999996" header="0.3" footer="0.3"/>
  <pageSetup paperSize="9" orientation="portrait" horizontalDpi="0"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4</vt:i4>
      </vt:variant>
    </vt:vector>
  </HeadingPairs>
  <TitlesOfParts>
    <vt:vector size="7" baseType="lpstr">
      <vt:lpstr>#SETTINGS</vt:lpstr>
      <vt:lpstr>#YYMMDD</vt:lpstr>
      <vt:lpstr>DATEN</vt:lpstr>
      <vt:lpstr>AktSp</vt:lpstr>
      <vt:lpstr>AktZei</vt:lpstr>
      <vt:lpstr>statSpr</vt:lpstr>
      <vt:lpstr>VERS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Kruse</dc:creator>
  <cp:lastModifiedBy>Axel Kruse</cp:lastModifiedBy>
  <cp:lastPrinted>2026-05-20T09:48:23Z</cp:lastPrinted>
  <dcterms:created xsi:type="dcterms:W3CDTF">2026-01-07T15:00:57Z</dcterms:created>
  <dcterms:modified xsi:type="dcterms:W3CDTF">2026-08-20T12:50:40Z</dcterms:modified>
</cp:coreProperties>
</file>